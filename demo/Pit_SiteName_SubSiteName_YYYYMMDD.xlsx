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keb\Documents\GitHub\tvc-snowpit-parser\demo\"/>
    </mc:Choice>
  </mc:AlternateContent>
  <xr:revisionPtr revIDLastSave="0" documentId="8_{74CD1DB7-D19E-47BF-928A-4694406A34A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ETADATA" sheetId="1" r:id="rId1"/>
    <sheet name="P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KrQ/CIJzpzYKJ01zq1AWsc3J18U1Ki+Wgs/+PGlt/Q="/>
    </ext>
  </extLst>
</workbook>
</file>

<file path=xl/calcChain.xml><?xml version="1.0" encoding="utf-8"?>
<calcChain xmlns="http://schemas.openxmlformats.org/spreadsheetml/2006/main">
  <c r="L14" i="2" l="1"/>
  <c r="L12" i="2"/>
  <c r="L10" i="2"/>
  <c r="H6" i="2"/>
</calcChain>
</file>

<file path=xl/sharedStrings.xml><?xml version="1.0" encoding="utf-8"?>
<sst xmlns="http://schemas.openxmlformats.org/spreadsheetml/2006/main" count="181" uniqueCount="162">
  <si>
    <t>Location:</t>
  </si>
  <si>
    <t>Surveyors:</t>
  </si>
  <si>
    <t>Weather and co-located measurements:</t>
  </si>
  <si>
    <t>Site:</t>
  </si>
  <si>
    <t>Time:</t>
  </si>
  <si>
    <t>Pit:</t>
  </si>
  <si>
    <t>Date:</t>
  </si>
  <si>
    <r>
      <rPr>
        <b/>
        <sz val="10"/>
        <color rgb="FF000000"/>
        <rFont val="Arial"/>
      </rPr>
      <t xml:space="preserve">Precipitation      </t>
    </r>
    <r>
      <rPr>
        <sz val="10"/>
        <color rgb="FF000000"/>
        <rFont val="Arial"/>
      </rPr>
      <t>(circle one)</t>
    </r>
  </si>
  <si>
    <t>None</t>
  </si>
  <si>
    <t>Light Snowfall</t>
  </si>
  <si>
    <t>Moderate     Snowfall</t>
  </si>
  <si>
    <t>Heavy        Snowfall</t>
  </si>
  <si>
    <t>Rain</t>
  </si>
  <si>
    <t>Check   List</t>
  </si>
  <si>
    <t>Metadata in Headers</t>
  </si>
  <si>
    <t>Snow Temperature Profile</t>
  </si>
  <si>
    <r>
      <rPr>
        <b/>
        <sz val="10"/>
        <color rgb="FF000000"/>
        <rFont val="Arial"/>
      </rPr>
      <t xml:space="preserve">Sky </t>
    </r>
    <r>
      <rPr>
        <sz val="10"/>
        <color rgb="FF000000"/>
        <rFont val="Arial"/>
      </rPr>
      <t>(circle one)</t>
    </r>
  </si>
  <si>
    <t>Clear</t>
  </si>
  <si>
    <t>PC 25%</t>
  </si>
  <si>
    <t>PC 50%</t>
  </si>
  <si>
    <t>MC 75%</t>
  </si>
  <si>
    <t>Overcast</t>
  </si>
  <si>
    <t>NIR Photo of Pit Wall</t>
  </si>
  <si>
    <t>Snow Thermal Conductivity Profile</t>
  </si>
  <si>
    <r>
      <rPr>
        <b/>
        <sz val="10"/>
        <color rgb="FF000000"/>
        <rFont val="Arial"/>
      </rPr>
      <t xml:space="preserve">Wind </t>
    </r>
    <r>
      <rPr>
        <sz val="10"/>
        <color rgb="FF000000"/>
        <rFont val="Arial"/>
      </rPr>
      <t>(circle one)</t>
    </r>
  </si>
  <si>
    <t>Calm</t>
  </si>
  <si>
    <t>Breeze</t>
  </si>
  <si>
    <t>Light</t>
  </si>
  <si>
    <t>Moderate</t>
  </si>
  <si>
    <t>Strong</t>
  </si>
  <si>
    <t>VIS Photos  of Pit Wall and Site</t>
  </si>
  <si>
    <t>Snow Density Profiles</t>
  </si>
  <si>
    <r>
      <rPr>
        <b/>
        <sz val="10"/>
        <color theme="1"/>
        <rFont val="Arial"/>
      </rPr>
      <t>Wind</t>
    </r>
    <r>
      <rPr>
        <sz val="10"/>
        <color theme="1"/>
        <rFont val="Arial"/>
      </rPr>
      <t xml:space="preserve"> (circle one)</t>
    </r>
  </si>
  <si>
    <t>Intermittent</t>
  </si>
  <si>
    <t>Gusty</t>
  </si>
  <si>
    <t>Steady</t>
  </si>
  <si>
    <t>Grain Photos - All Layers</t>
  </si>
  <si>
    <t>Soil Temperatue (5 and 10 cm)</t>
  </si>
  <si>
    <r>
      <rPr>
        <b/>
        <sz val="10"/>
        <color rgb="FF000000"/>
        <rFont val="Arial"/>
      </rPr>
      <t>Ground Condition</t>
    </r>
    <r>
      <rPr>
        <sz val="10"/>
        <color rgb="FF000000"/>
        <rFont val="Arial"/>
      </rPr>
      <t>(circle one)</t>
    </r>
  </si>
  <si>
    <t>Frozen</t>
  </si>
  <si>
    <t>Thawed</t>
  </si>
  <si>
    <t>Uncertain</t>
  </si>
  <si>
    <t>"Grain Size" Measurements</t>
  </si>
  <si>
    <t>Soil Sample</t>
  </si>
  <si>
    <r>
      <rPr>
        <b/>
        <sz val="10"/>
        <color rgb="FF000000"/>
        <rFont val="Arial"/>
      </rPr>
      <t>Soil Moisture</t>
    </r>
    <r>
      <rPr>
        <sz val="10"/>
        <color rgb="FF000000"/>
        <rFont val="Arial"/>
      </rPr>
      <t>(circle one)</t>
    </r>
  </si>
  <si>
    <t>Dry</t>
  </si>
  <si>
    <t>Moist</t>
  </si>
  <si>
    <t>Wet</t>
  </si>
  <si>
    <t>Saturated</t>
  </si>
  <si>
    <t>Grain Type Measurements</t>
  </si>
  <si>
    <t>Vegetation Sample</t>
  </si>
  <si>
    <r>
      <rPr>
        <b/>
        <sz val="10"/>
        <color rgb="FF000000"/>
        <rFont val="Arial"/>
      </rPr>
      <t>Ground Roughness</t>
    </r>
    <r>
      <rPr>
        <sz val="10"/>
        <color rgb="FF000000"/>
        <rFont val="Arial"/>
      </rPr>
      <t>(circle one)</t>
    </r>
  </si>
  <si>
    <t>Smooth</t>
  </si>
  <si>
    <t>Rough</t>
  </si>
  <si>
    <t>Rugged</t>
  </si>
  <si>
    <t>IRIS/IceCube SSA</t>
  </si>
  <si>
    <t>Weather/Ground/Vegetation Notes</t>
  </si>
  <si>
    <r>
      <rPr>
        <b/>
        <sz val="10"/>
        <color rgb="FF000000"/>
        <rFont val="Arial"/>
      </rPr>
      <t>Ground Vegetation</t>
    </r>
    <r>
      <rPr>
        <sz val="10"/>
        <color rgb="FF000000"/>
        <rFont val="Arial"/>
      </rPr>
      <t>(circle one or more)</t>
    </r>
  </si>
  <si>
    <t>Bare</t>
  </si>
  <si>
    <t>Grass</t>
  </si>
  <si>
    <t>Shrub</t>
  </si>
  <si>
    <t>Deadfall</t>
  </si>
  <si>
    <t>Snow Wetness (Qualitative)</t>
  </si>
  <si>
    <t>SMP Profiles</t>
  </si>
  <si>
    <r>
      <rPr>
        <b/>
        <sz val="10"/>
        <color rgb="FF000000"/>
        <rFont val="Arial"/>
      </rPr>
      <t xml:space="preserve">Height of Ground Vegetation </t>
    </r>
    <r>
      <rPr>
        <sz val="10"/>
        <color rgb="FF000000"/>
        <rFont val="Arial"/>
      </rPr>
      <t>(if present)</t>
    </r>
  </si>
  <si>
    <t>cm</t>
  </si>
  <si>
    <t>Fill out data sheet header and take photo of header with all cameras</t>
  </si>
  <si>
    <r>
      <rPr>
        <b/>
        <sz val="10"/>
        <color theme="1"/>
        <rFont val="Arial"/>
      </rPr>
      <t xml:space="preserve">Tree Canopy </t>
    </r>
    <r>
      <rPr>
        <sz val="10"/>
        <color theme="1"/>
        <rFont val="Arial"/>
      </rPr>
      <t xml:space="preserve"> (circle one)</t>
    </r>
  </si>
  <si>
    <t>No Trees</t>
  </si>
  <si>
    <t>Sparse (5-20%</t>
  </si>
  <si>
    <t>Open (20-70%)</t>
  </si>
  <si>
    <t>Closed (&gt;70%)</t>
  </si>
  <si>
    <t>Carefully excavate shaded face - leave area as undisturbed as possible</t>
  </si>
  <si>
    <t>Grain Size</t>
  </si>
  <si>
    <t xml:space="preserve">Place ruler on pit wall </t>
  </si>
  <si>
    <t>Observed Grain Size</t>
  </si>
  <si>
    <t>0.1-1.0 mm</t>
  </si>
  <si>
    <t>1.0-5.0 mm</t>
  </si>
  <si>
    <t>&gt;5.0 mm</t>
  </si>
  <si>
    <t>Take NIR &amp; visible pit wall photos, site photos N, E, S, W in order, and overhead canopy</t>
  </si>
  <si>
    <t>Resolution to Record</t>
  </si>
  <si>
    <t>0.1 mm</t>
  </si>
  <si>
    <t>0.5 mm</t>
  </si>
  <si>
    <t>1 mm</t>
  </si>
  <si>
    <t>Simultaneously: take temperature/conductivity profile, stratigraphy, grain size, snow wetness</t>
  </si>
  <si>
    <t>Grain Type</t>
  </si>
  <si>
    <t>Snow Wetness</t>
  </si>
  <si>
    <t>Take grain photos. Photograph layer info on data sheet before each new layer.</t>
  </si>
  <si>
    <t>New Snow</t>
  </si>
  <si>
    <t>N</t>
  </si>
  <si>
    <t>Will not pack</t>
  </si>
  <si>
    <t>D</t>
  </si>
  <si>
    <t xml:space="preserve">Measure density in dual profile top to bottom. </t>
  </si>
  <si>
    <t>Rounds</t>
  </si>
  <si>
    <t>R</t>
  </si>
  <si>
    <t>Sticks together</t>
  </si>
  <si>
    <t>M</t>
  </si>
  <si>
    <t>Take IRIS/IceCube SSA measurements adjacent to density profiles</t>
  </si>
  <si>
    <t>Facets</t>
  </si>
  <si>
    <t>F</t>
  </si>
  <si>
    <t>Perfect snowballs</t>
  </si>
  <si>
    <t>W</t>
  </si>
  <si>
    <t>Make SMP profile measurement as close as possible to each density and SSA profile</t>
  </si>
  <si>
    <t>Mixed Forms</t>
  </si>
  <si>
    <t>Very Wet</t>
  </si>
  <si>
    <t>Water can be squeezed out</t>
  </si>
  <si>
    <t>V</t>
  </si>
  <si>
    <t>Bag vegetation and soil samples for later analysis; Take soil temperatures at -5 and -10 cm</t>
  </si>
  <si>
    <t>Melt-Freeze</t>
  </si>
  <si>
    <t>MF</t>
  </si>
  <si>
    <t>Slush</t>
  </si>
  <si>
    <t>Water drains freely</t>
  </si>
  <si>
    <t>S</t>
  </si>
  <si>
    <t>Fill in all data and check list on second page - Leave no blanks! Note any changes to protocols</t>
  </si>
  <si>
    <t>Crust</t>
  </si>
  <si>
    <t>C</t>
  </si>
  <si>
    <t>Soil Temperature</t>
  </si>
  <si>
    <t>Account for all tools and pack</t>
  </si>
  <si>
    <t>Ice Lens</t>
  </si>
  <si>
    <t>L</t>
  </si>
  <si>
    <t>5 cm</t>
  </si>
  <si>
    <t>10 cm</t>
  </si>
  <si>
    <t>Total Depth (cm)</t>
  </si>
  <si>
    <t>UTM Zone:</t>
  </si>
  <si>
    <t>Slope:</t>
  </si>
  <si>
    <t>Density</t>
  </si>
  <si>
    <t>Temperature</t>
  </si>
  <si>
    <t>Stratigraphy</t>
  </si>
  <si>
    <t>SSA</t>
  </si>
  <si>
    <t>Height above
ground</t>
  </si>
  <si>
    <t>Height above ground</t>
  </si>
  <si>
    <t>Grain
type</t>
  </si>
  <si>
    <t>Grain type (other)</t>
  </si>
  <si>
    <t>Snow Wet.</t>
  </si>
  <si>
    <t>top
(cm)</t>
  </si>
  <si>
    <t>bottom
(cm)</t>
  </si>
  <si>
    <t>btm
(cm)</t>
  </si>
  <si>
    <t>min</t>
  </si>
  <si>
    <t>max</t>
  </si>
  <si>
    <t>mean</t>
  </si>
  <si>
    <t>Density
profile</t>
  </si>
  <si>
    <t>Cutter Size (cm)</t>
  </si>
  <si>
    <t>Temperature Profile</t>
  </si>
  <si>
    <t>°C</t>
  </si>
  <si>
    <t>Pit ID</t>
  </si>
  <si>
    <t>Longitude (-180 to +180):</t>
  </si>
  <si>
    <t>Latitude (-90 to +90):</t>
  </si>
  <si>
    <r>
      <t xml:space="preserve">Grain size </t>
    </r>
    <r>
      <rPr>
        <sz val="8"/>
        <color rgb="FF000000"/>
        <rFont val="Arial"/>
      </rPr>
      <t>(mm)</t>
    </r>
  </si>
  <si>
    <t>weight (g)</t>
  </si>
  <si>
    <t>Campaign:</t>
  </si>
  <si>
    <t>IRIS</t>
  </si>
  <si>
    <t>Spectralon</t>
  </si>
  <si>
    <t xml:space="preserve"> Comments</t>
  </si>
  <si>
    <t>Hardness</t>
  </si>
  <si>
    <t>Value</t>
  </si>
  <si>
    <t xml:space="preserve">weather = , air temp = </t>
  </si>
  <si>
    <t>Comments/Notes/Indicate co-located measurements:</t>
  </si>
  <si>
    <t>survey workers that spans multiple cells and rows so that it reads in the whole value</t>
  </si>
  <si>
    <t>TVC 2018</t>
  </si>
  <si>
    <t>site name</t>
  </si>
  <si>
    <t>pit ident</t>
  </si>
  <si>
    <t>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</si>
</sst>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h:mm:ss\ AM/PM"/>
    <numFmt numFmtId="165" formatCode="0.0"/>
    <numFmt numFmtId="166" formatCode="h:mm:ss;@"/>
  </numFmts>
  <fonts count="1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1"/>
      <color theme="1"/>
      <name val="Arial"/>
    </font>
    <font>
      <b/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8"/>
      <color theme="1"/>
      <name val="Arial"/>
    </font>
    <font>
      <sz val="9"/>
      <color theme="1"/>
      <name val="Arial"/>
    </font>
    <font>
      <sz val="10"/>
      <color rgb="FF000000"/>
      <name val="Arial"/>
    </font>
    <font>
      <sz val="8"/>
      <color theme="1"/>
      <name val="Arial"/>
    </font>
    <font>
      <sz val="8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7F7F80"/>
        <bgColor rgb="FF7F7F80"/>
      </patternFill>
    </fill>
    <fill>
      <patternFill patternType="solid">
        <fgColor theme="0"/>
        <bgColor theme="0"/>
      </patternFill>
    </fill>
  </fills>
  <borders count="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5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/>
    </xf>
    <xf numFmtId="0" fontId="8" fillId="0" borderId="31" xfId="0" applyFont="1" applyBorder="1" applyAlignment="1">
      <alignment vertical="center" shrinkToFit="1"/>
    </xf>
    <xf numFmtId="0" fontId="10" fillId="0" borderId="38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/>
    </xf>
    <xf numFmtId="1" fontId="5" fillId="0" borderId="58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" fontId="5" fillId="0" borderId="28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" fontId="5" fillId="0" borderId="61" xfId="0" applyNumberFormat="1" applyFont="1" applyBorder="1" applyAlignment="1">
      <alignment horizontal="center" vertical="center"/>
    </xf>
    <xf numFmtId="165" fontId="5" fillId="0" borderId="62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" fontId="5" fillId="0" borderId="63" xfId="0" applyNumberFormat="1" applyFont="1" applyBorder="1" applyAlignment="1">
      <alignment horizontal="center" vertical="center"/>
    </xf>
    <xf numFmtId="165" fontId="5" fillId="0" borderId="64" xfId="0" applyNumberFormat="1" applyFon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 wrapText="1"/>
    </xf>
    <xf numFmtId="165" fontId="5" fillId="0" borderId="24" xfId="0" applyNumberFormat="1" applyFont="1" applyBorder="1" applyAlignment="1">
      <alignment horizontal="center" vertical="center" wrapText="1"/>
    </xf>
    <xf numFmtId="0" fontId="2" fillId="0" borderId="61" xfId="0" applyFont="1" applyBorder="1" applyAlignment="1">
      <alignment vertical="center"/>
    </xf>
    <xf numFmtId="49" fontId="0" fillId="0" borderId="50" xfId="0" applyNumberFormat="1" applyBorder="1" applyAlignment="1">
      <alignment horizontal="center" vertical="center"/>
    </xf>
    <xf numFmtId="0" fontId="14" fillId="0" borderId="46" xfId="0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4" fillId="0" borderId="49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2" fillId="0" borderId="65" xfId="0" applyFont="1" applyBorder="1" applyAlignment="1">
      <alignment vertical="top" wrapText="1"/>
    </xf>
    <xf numFmtId="0" fontId="12" fillId="0" borderId="66" xfId="0" applyFont="1" applyBorder="1" applyAlignment="1">
      <alignment vertical="top" wrapText="1"/>
    </xf>
    <xf numFmtId="0" fontId="12" fillId="0" borderId="67" xfId="0" applyFont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36" xfId="0" applyFont="1" applyBorder="1" applyAlignment="1">
      <alignment vertical="top" wrapText="1"/>
    </xf>
    <xf numFmtId="0" fontId="5" fillId="0" borderId="35" xfId="0" applyFont="1" applyBorder="1" applyAlignment="1">
      <alignment vertical="top" wrapText="1"/>
    </xf>
    <xf numFmtId="0" fontId="5" fillId="0" borderId="37" xfId="0" applyFont="1" applyBorder="1" applyAlignment="1">
      <alignment vertical="top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49" fontId="12" fillId="0" borderId="54" xfId="0" applyNumberFormat="1" applyFont="1" applyBorder="1" applyAlignment="1">
      <alignment horizontal="center" vertical="center"/>
    </xf>
    <xf numFmtId="49" fontId="5" fillId="0" borderId="55" xfId="0" applyNumberFormat="1" applyFont="1" applyBorder="1" applyAlignment="1">
      <alignment horizontal="center" vertical="center"/>
    </xf>
    <xf numFmtId="0" fontId="12" fillId="0" borderId="41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1" fontId="5" fillId="0" borderId="22" xfId="0" applyNumberFormat="1" applyFont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/>
    </xf>
    <xf numFmtId="165" fontId="5" fillId="0" borderId="18" xfId="0" applyNumberFormat="1" applyFont="1" applyBorder="1" applyAlignment="1">
      <alignment horizontal="center" vertical="center"/>
    </xf>
    <xf numFmtId="165" fontId="5" fillId="0" borderId="20" xfId="0" applyNumberFormat="1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14" fillId="0" borderId="50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49" fontId="12" fillId="0" borderId="6" xfId="0" applyNumberFormat="1" applyFont="1" applyBorder="1" applyAlignment="1">
      <alignment horizontal="left" vertical="top"/>
    </xf>
    <xf numFmtId="49" fontId="12" fillId="0" borderId="7" xfId="0" applyNumberFormat="1" applyFont="1" applyBorder="1" applyAlignment="1">
      <alignment horizontal="left" vertical="top"/>
    </xf>
    <xf numFmtId="49" fontId="12" fillId="0" borderId="8" xfId="0" applyNumberFormat="1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7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5" fillId="0" borderId="61" xfId="0" applyFont="1" applyBorder="1" applyAlignment="1">
      <alignment vertical="center"/>
    </xf>
    <xf numFmtId="2" fontId="5" fillId="0" borderId="68" xfId="0" applyNumberFormat="1" applyFont="1" applyBorder="1" applyAlignment="1">
      <alignment horizontal="center" vertical="center"/>
    </xf>
    <xf numFmtId="2" fontId="5" fillId="0" borderId="69" xfId="0" applyNumberFormat="1" applyFont="1" applyBorder="1" applyAlignment="1">
      <alignment horizontal="center" vertical="center"/>
    </xf>
    <xf numFmtId="2" fontId="5" fillId="0" borderId="70" xfId="0" applyNumberFormat="1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top"/>
    </xf>
    <xf numFmtId="0" fontId="2" fillId="0" borderId="2" xfId="0" applyFont="1" applyBorder="1"/>
    <xf numFmtId="49" fontId="5" fillId="0" borderId="10" xfId="0" applyNumberFormat="1" applyFont="1" applyBorder="1" applyAlignment="1">
      <alignment horizontal="left" vertical="top" wrapText="1"/>
    </xf>
    <xf numFmtId="49" fontId="2" fillId="0" borderId="11" xfId="0" applyNumberFormat="1" applyFont="1" applyBorder="1"/>
    <xf numFmtId="49" fontId="2" fillId="0" borderId="13" xfId="0" applyNumberFormat="1" applyFont="1" applyBorder="1"/>
    <xf numFmtId="49" fontId="0" fillId="0" borderId="0" xfId="0" applyNumberFormat="1"/>
    <xf numFmtId="49" fontId="2" fillId="0" borderId="0" xfId="0" applyNumberFormat="1" applyFont="1"/>
    <xf numFmtId="49" fontId="2" fillId="0" borderId="15" xfId="0" applyNumberFormat="1" applyFont="1" applyBorder="1"/>
    <xf numFmtId="49" fontId="2" fillId="0" borderId="16" xfId="0" applyNumberFormat="1" applyFont="1" applyBorder="1"/>
    <xf numFmtId="0" fontId="5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14" fontId="5" fillId="0" borderId="10" xfId="0" applyNumberFormat="1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13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2" fillId="0" borderId="15" xfId="0" applyFont="1" applyBorder="1"/>
    <xf numFmtId="0" fontId="5" fillId="0" borderId="9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5" fillId="0" borderId="40" xfId="0" applyFont="1" applyBorder="1" applyAlignment="1">
      <alignment horizontal="center" vertical="center" wrapText="1"/>
    </xf>
    <xf numFmtId="0" fontId="2" fillId="0" borderId="20" xfId="0" applyFont="1" applyBorder="1"/>
    <xf numFmtId="2" fontId="5" fillId="0" borderId="9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5" fillId="0" borderId="1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 wrapText="1"/>
    </xf>
    <xf numFmtId="2" fontId="2" fillId="0" borderId="76" xfId="0" applyNumberFormat="1" applyFont="1" applyBorder="1" applyAlignment="1">
      <alignment horizontal="center" vertical="center"/>
    </xf>
    <xf numFmtId="2" fontId="2" fillId="0" borderId="70" xfId="0" applyNumberFormat="1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14" fillId="0" borderId="77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2" fillId="0" borderId="8" xfId="0" applyFont="1" applyBorder="1"/>
    <xf numFmtId="0" fontId="5" fillId="0" borderId="9" xfId="0" applyFont="1" applyBorder="1" applyAlignment="1">
      <alignment horizontal="center" vertical="center"/>
    </xf>
    <xf numFmtId="0" fontId="2" fillId="0" borderId="7" xfId="0" applyFont="1" applyBorder="1"/>
    <xf numFmtId="0" fontId="3" fillId="0" borderId="6" xfId="0" applyFont="1" applyBorder="1" applyAlignment="1">
      <alignment horizontal="left" vertical="top"/>
    </xf>
    <xf numFmtId="15" fontId="3" fillId="0" borderId="9" xfId="0" applyNumberFormat="1" applyFont="1" applyBorder="1" applyAlignment="1">
      <alignment horizontal="left" vertical="top"/>
    </xf>
    <xf numFmtId="0" fontId="6" fillId="0" borderId="22" xfId="0" applyFont="1" applyBorder="1" applyAlignment="1">
      <alignment horizontal="center" vertical="center" textRotation="90" wrapText="1"/>
    </xf>
    <xf numFmtId="0" fontId="2" fillId="0" borderId="25" xfId="0" applyFont="1" applyBorder="1"/>
    <xf numFmtId="0" fontId="2" fillId="0" borderId="26" xfId="0" applyFont="1" applyBorder="1"/>
    <xf numFmtId="0" fontId="5" fillId="0" borderId="11" xfId="0" applyFont="1" applyBorder="1" applyAlignment="1">
      <alignment horizontal="left"/>
    </xf>
    <xf numFmtId="0" fontId="2" fillId="0" borderId="11" xfId="0" applyFont="1" applyBorder="1"/>
    <xf numFmtId="0" fontId="2" fillId="0" borderId="19" xfId="0" applyFont="1" applyBorder="1"/>
    <xf numFmtId="0" fontId="5" fillId="0" borderId="0" xfId="0" applyFont="1"/>
    <xf numFmtId="0" fontId="0" fillId="0" borderId="0" xfId="0"/>
    <xf numFmtId="0" fontId="2" fillId="0" borderId="29" xfId="0" applyFont="1" applyBorder="1"/>
    <xf numFmtId="0" fontId="5" fillId="0" borderId="15" xfId="0" applyFont="1" applyBorder="1"/>
    <xf numFmtId="0" fontId="2" fillId="0" borderId="21" xfId="0" applyFont="1" applyBorder="1"/>
    <xf numFmtId="0" fontId="1" fillId="0" borderId="1" xfId="0" applyFont="1" applyBorder="1" applyAlignment="1">
      <alignment horizontal="left" vertical="top"/>
    </xf>
    <xf numFmtId="0" fontId="2" fillId="0" borderId="3" xfId="0" applyFont="1" applyBorder="1"/>
    <xf numFmtId="0" fontId="1" fillId="0" borderId="4" xfId="0" applyFont="1" applyBorder="1" applyAlignment="1">
      <alignment horizontal="left" vertical="top"/>
    </xf>
    <xf numFmtId="0" fontId="2" fillId="0" borderId="5" xfId="0" applyFont="1" applyBorder="1"/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7" xfId="0" applyFont="1" applyBorder="1"/>
    <xf numFmtId="0" fontId="1" fillId="0" borderId="9" xfId="0" applyFont="1" applyBorder="1" applyAlignment="1">
      <alignment horizontal="left" vertical="top"/>
    </xf>
    <xf numFmtId="164" fontId="3" fillId="0" borderId="9" xfId="0" applyNumberFormat="1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1" fillId="0" borderId="9" xfId="0" applyNumberFormat="1" applyFont="1" applyBorder="1" applyAlignment="1">
      <alignment horizontal="left" vertical="top"/>
    </xf>
    <xf numFmtId="0" fontId="4" fillId="0" borderId="18" xfId="0" applyFont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24" xfId="0" applyFont="1" applyBorder="1"/>
    <xf numFmtId="0" fontId="5" fillId="3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/>
    </xf>
    <xf numFmtId="0" fontId="2" fillId="0" borderId="33" xfId="0" applyFont="1" applyBorder="1"/>
    <xf numFmtId="0" fontId="5" fillId="0" borderId="32" xfId="0" applyFont="1" applyBorder="1" applyAlignment="1">
      <alignment vertical="center"/>
    </xf>
    <xf numFmtId="0" fontId="2" fillId="0" borderId="3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opLeftCell="A5" workbookViewId="0">
      <selection activeCell="T13" sqref="T13"/>
    </sheetView>
  </sheetViews>
  <sheetFormatPr defaultColWidth="12.5703125" defaultRowHeight="15" customHeight="1" x14ac:dyDescent="0.2"/>
  <cols>
    <col min="1" max="1" width="3.5703125" customWidth="1"/>
    <col min="2" max="2" width="8.42578125" customWidth="1"/>
    <col min="3" max="3" width="20.42578125" customWidth="1"/>
    <col min="4" max="4" width="3.42578125" customWidth="1"/>
    <col min="5" max="5" width="8.42578125" customWidth="1"/>
    <col min="6" max="6" width="10.42578125" customWidth="1"/>
    <col min="7" max="7" width="20.140625" customWidth="1"/>
    <col min="8" max="8" width="3.42578125" customWidth="1"/>
    <col min="9" max="9" width="17.42578125" customWidth="1"/>
    <col min="10" max="10" width="10.85546875" customWidth="1"/>
    <col min="11" max="11" width="11.42578125" customWidth="1"/>
    <col min="12" max="12" width="10.140625" customWidth="1"/>
    <col min="13" max="13" width="6.140625" customWidth="1"/>
    <col min="14" max="14" width="10.42578125" customWidth="1"/>
    <col min="15" max="15" width="6.140625" customWidth="1"/>
    <col min="16" max="16" width="10.140625" customWidth="1"/>
    <col min="17" max="17" width="3.42578125" customWidth="1"/>
    <col min="18" max="26" width="8.5703125" customWidth="1"/>
  </cols>
  <sheetData>
    <row r="1" spans="1:17" ht="15.75" customHeight="1" x14ac:dyDescent="0.2">
      <c r="A1" s="165" t="s">
        <v>0</v>
      </c>
      <c r="B1" s="98"/>
      <c r="C1" s="98"/>
      <c r="D1" s="166"/>
      <c r="E1" s="167" t="s">
        <v>1</v>
      </c>
      <c r="F1" s="98"/>
      <c r="G1" s="98"/>
      <c r="H1" s="166"/>
      <c r="I1" s="167" t="s">
        <v>2</v>
      </c>
      <c r="J1" s="98"/>
      <c r="K1" s="98"/>
      <c r="L1" s="98"/>
      <c r="M1" s="98"/>
      <c r="N1" s="98"/>
      <c r="O1" s="98"/>
      <c r="P1" s="98"/>
      <c r="Q1" s="168"/>
    </row>
    <row r="2" spans="1:17" ht="24.75" customHeight="1" x14ac:dyDescent="0.2">
      <c r="A2" s="152"/>
      <c r="B2" s="151"/>
      <c r="C2" s="151"/>
      <c r="D2" s="149"/>
      <c r="E2" s="169"/>
      <c r="F2" s="151"/>
      <c r="G2" s="151"/>
      <c r="H2" s="149"/>
      <c r="I2" s="170"/>
      <c r="J2" s="158"/>
      <c r="K2" s="158"/>
      <c r="L2" s="158"/>
      <c r="M2" s="158"/>
      <c r="N2" s="158"/>
      <c r="O2" s="158"/>
      <c r="P2" s="158"/>
      <c r="Q2" s="171"/>
    </row>
    <row r="3" spans="1:17" ht="15" customHeight="1" x14ac:dyDescent="0.2">
      <c r="A3" s="177" t="s">
        <v>3</v>
      </c>
      <c r="B3" s="151"/>
      <c r="C3" s="151"/>
      <c r="D3" s="149"/>
      <c r="E3" s="175" t="s">
        <v>4</v>
      </c>
      <c r="F3" s="151"/>
      <c r="G3" s="151"/>
      <c r="H3" s="149"/>
      <c r="I3" s="172"/>
      <c r="J3" s="161"/>
      <c r="K3" s="161"/>
      <c r="L3" s="161"/>
      <c r="M3" s="161"/>
      <c r="N3" s="161"/>
      <c r="O3" s="161"/>
      <c r="P3" s="161"/>
      <c r="Q3" s="173"/>
    </row>
    <row r="4" spans="1:17" ht="27" customHeight="1" x14ac:dyDescent="0.2">
      <c r="A4" s="152"/>
      <c r="B4" s="151"/>
      <c r="C4" s="151"/>
      <c r="D4" s="149"/>
      <c r="E4" s="176"/>
      <c r="F4" s="151"/>
      <c r="G4" s="151"/>
      <c r="H4" s="149"/>
      <c r="I4" s="116"/>
      <c r="J4" s="113"/>
      <c r="K4" s="113"/>
      <c r="L4" s="113"/>
      <c r="M4" s="113"/>
      <c r="N4" s="113"/>
      <c r="O4" s="113"/>
      <c r="P4" s="113"/>
      <c r="Q4" s="174"/>
    </row>
    <row r="5" spans="1:17" ht="15" customHeight="1" x14ac:dyDescent="0.2">
      <c r="A5" s="177" t="s">
        <v>5</v>
      </c>
      <c r="B5" s="151"/>
      <c r="C5" s="151"/>
      <c r="D5" s="149"/>
      <c r="E5" s="178" t="s">
        <v>6</v>
      </c>
      <c r="F5" s="151"/>
      <c r="G5" s="151"/>
      <c r="H5" s="149"/>
      <c r="I5" s="179" t="s">
        <v>7</v>
      </c>
      <c r="J5" s="180" t="s">
        <v>8</v>
      </c>
      <c r="K5" s="181" t="s">
        <v>9</v>
      </c>
      <c r="L5" s="185" t="s">
        <v>10</v>
      </c>
      <c r="M5" s="159"/>
      <c r="N5" s="185" t="s">
        <v>11</v>
      </c>
      <c r="O5" s="159"/>
      <c r="P5" s="185" t="s">
        <v>12</v>
      </c>
      <c r="Q5" s="171"/>
    </row>
    <row r="6" spans="1:17" ht="24" customHeight="1" x14ac:dyDescent="0.2">
      <c r="A6" s="152"/>
      <c r="B6" s="151"/>
      <c r="C6" s="151"/>
      <c r="D6" s="149"/>
      <c r="E6" s="153"/>
      <c r="F6" s="151"/>
      <c r="G6" s="151"/>
      <c r="H6" s="149"/>
      <c r="I6" s="120"/>
      <c r="J6" s="120"/>
      <c r="K6" s="120"/>
      <c r="L6" s="116"/>
      <c r="M6" s="164"/>
      <c r="N6" s="116"/>
      <c r="O6" s="164"/>
      <c r="P6" s="116"/>
      <c r="Q6" s="174"/>
    </row>
    <row r="7" spans="1:17" ht="24.75" customHeight="1" x14ac:dyDescent="0.2">
      <c r="A7" s="154" t="s">
        <v>13</v>
      </c>
      <c r="B7" s="150" t="s">
        <v>14</v>
      </c>
      <c r="C7" s="149"/>
      <c r="D7" s="1"/>
      <c r="E7" s="150" t="s">
        <v>15</v>
      </c>
      <c r="F7" s="151"/>
      <c r="G7" s="149"/>
      <c r="H7" s="1"/>
      <c r="I7" s="2" t="s">
        <v>16</v>
      </c>
      <c r="J7" s="3" t="s">
        <v>17</v>
      </c>
      <c r="K7" s="1" t="s">
        <v>18</v>
      </c>
      <c r="L7" s="150" t="s">
        <v>19</v>
      </c>
      <c r="M7" s="149"/>
      <c r="N7" s="150" t="s">
        <v>20</v>
      </c>
      <c r="O7" s="149"/>
      <c r="P7" s="182" t="s">
        <v>21</v>
      </c>
      <c r="Q7" s="183"/>
    </row>
    <row r="8" spans="1:17" ht="24.75" customHeight="1" x14ac:dyDescent="0.2">
      <c r="A8" s="155"/>
      <c r="B8" s="150" t="s">
        <v>22</v>
      </c>
      <c r="C8" s="149"/>
      <c r="D8" s="1"/>
      <c r="E8" s="150" t="s">
        <v>23</v>
      </c>
      <c r="F8" s="151"/>
      <c r="G8" s="149"/>
      <c r="H8" s="1"/>
      <c r="I8" s="2" t="s">
        <v>24</v>
      </c>
      <c r="J8" s="1" t="s">
        <v>25</v>
      </c>
      <c r="K8" s="1" t="s">
        <v>26</v>
      </c>
      <c r="L8" s="186" t="s">
        <v>27</v>
      </c>
      <c r="M8" s="149"/>
      <c r="N8" s="150" t="s">
        <v>28</v>
      </c>
      <c r="O8" s="149"/>
      <c r="P8" s="182" t="s">
        <v>29</v>
      </c>
      <c r="Q8" s="183"/>
    </row>
    <row r="9" spans="1:17" ht="24.75" customHeight="1" x14ac:dyDescent="0.2">
      <c r="A9" s="155"/>
      <c r="B9" s="150" t="s">
        <v>30</v>
      </c>
      <c r="C9" s="149"/>
      <c r="D9" s="1"/>
      <c r="E9" s="150" t="s">
        <v>31</v>
      </c>
      <c r="F9" s="151"/>
      <c r="G9" s="149"/>
      <c r="H9" s="1"/>
      <c r="I9" s="1" t="s">
        <v>32</v>
      </c>
      <c r="J9" s="3" t="s">
        <v>33</v>
      </c>
      <c r="K9" s="1" t="s">
        <v>34</v>
      </c>
      <c r="L9" s="150" t="s">
        <v>35</v>
      </c>
      <c r="M9" s="149"/>
      <c r="N9" s="184"/>
      <c r="O9" s="149"/>
      <c r="P9" s="184"/>
      <c r="Q9" s="183"/>
    </row>
    <row r="10" spans="1:17" ht="24.75" customHeight="1" x14ac:dyDescent="0.2">
      <c r="A10" s="155"/>
      <c r="B10" s="150" t="s">
        <v>36</v>
      </c>
      <c r="C10" s="149"/>
      <c r="D10" s="1"/>
      <c r="E10" s="150" t="s">
        <v>37</v>
      </c>
      <c r="F10" s="151"/>
      <c r="G10" s="149"/>
      <c r="H10" s="1"/>
      <c r="I10" s="187" t="s">
        <v>38</v>
      </c>
      <c r="J10" s="149"/>
      <c r="K10" s="3" t="s">
        <v>39</v>
      </c>
      <c r="L10" s="150" t="s">
        <v>40</v>
      </c>
      <c r="M10" s="149"/>
      <c r="N10" s="150" t="s">
        <v>41</v>
      </c>
      <c r="O10" s="149"/>
      <c r="P10" s="184"/>
      <c r="Q10" s="183"/>
    </row>
    <row r="11" spans="1:17" ht="24.75" customHeight="1" x14ac:dyDescent="0.2">
      <c r="A11" s="155"/>
      <c r="B11" s="148" t="s">
        <v>42</v>
      </c>
      <c r="C11" s="149"/>
      <c r="D11" s="1"/>
      <c r="E11" s="150" t="s">
        <v>43</v>
      </c>
      <c r="F11" s="151"/>
      <c r="G11" s="149"/>
      <c r="H11" s="1"/>
      <c r="I11" s="187" t="s">
        <v>44</v>
      </c>
      <c r="J11" s="149"/>
      <c r="K11" s="3" t="s">
        <v>45</v>
      </c>
      <c r="L11" s="150" t="s">
        <v>46</v>
      </c>
      <c r="M11" s="149"/>
      <c r="N11" s="190" t="s">
        <v>47</v>
      </c>
      <c r="O11" s="149"/>
      <c r="P11" s="182" t="s">
        <v>48</v>
      </c>
      <c r="Q11" s="183"/>
    </row>
    <row r="12" spans="1:17" ht="24.75" customHeight="1" x14ac:dyDescent="0.2">
      <c r="A12" s="155"/>
      <c r="B12" s="150" t="s">
        <v>49</v>
      </c>
      <c r="C12" s="149"/>
      <c r="D12" s="1"/>
      <c r="E12" s="150" t="s">
        <v>50</v>
      </c>
      <c r="F12" s="151"/>
      <c r="G12" s="149"/>
      <c r="H12" s="1"/>
      <c r="I12" s="187" t="s">
        <v>51</v>
      </c>
      <c r="J12" s="149"/>
      <c r="K12" s="1" t="s">
        <v>52</v>
      </c>
      <c r="L12" s="186" t="s">
        <v>53</v>
      </c>
      <c r="M12" s="149"/>
      <c r="N12" s="150" t="s">
        <v>54</v>
      </c>
      <c r="O12" s="149"/>
      <c r="P12" s="184"/>
      <c r="Q12" s="183"/>
    </row>
    <row r="13" spans="1:17" ht="24.75" customHeight="1" x14ac:dyDescent="0.2">
      <c r="A13" s="155"/>
      <c r="B13" s="150" t="s">
        <v>55</v>
      </c>
      <c r="C13" s="149"/>
      <c r="D13" s="1"/>
      <c r="E13" s="150" t="s">
        <v>56</v>
      </c>
      <c r="F13" s="151"/>
      <c r="G13" s="149"/>
      <c r="H13" s="1"/>
      <c r="I13" s="187" t="s">
        <v>57</v>
      </c>
      <c r="J13" s="149"/>
      <c r="K13" s="1" t="s">
        <v>58</v>
      </c>
      <c r="L13" s="186" t="s">
        <v>59</v>
      </c>
      <c r="M13" s="149"/>
      <c r="N13" s="150" t="s">
        <v>60</v>
      </c>
      <c r="O13" s="149"/>
      <c r="P13" s="182" t="s">
        <v>61</v>
      </c>
      <c r="Q13" s="183"/>
    </row>
    <row r="14" spans="1:17" ht="24.75" customHeight="1" x14ac:dyDescent="0.2">
      <c r="A14" s="156"/>
      <c r="B14" s="150" t="s">
        <v>62</v>
      </c>
      <c r="C14" s="149"/>
      <c r="D14" s="1"/>
      <c r="E14" s="150" t="s">
        <v>63</v>
      </c>
      <c r="F14" s="151"/>
      <c r="G14" s="149"/>
      <c r="H14" s="1"/>
      <c r="I14" s="187" t="s">
        <v>64</v>
      </c>
      <c r="J14" s="151"/>
      <c r="K14" s="149"/>
      <c r="L14" s="1">
        <v>5</v>
      </c>
      <c r="M14" s="1" t="s">
        <v>65</v>
      </c>
      <c r="N14" s="1">
        <v>10</v>
      </c>
      <c r="O14" s="1" t="s">
        <v>65</v>
      </c>
      <c r="P14" s="1"/>
      <c r="Q14" s="4" t="s">
        <v>65</v>
      </c>
    </row>
    <row r="15" spans="1:17" ht="24.75" customHeight="1" x14ac:dyDescent="0.2">
      <c r="A15" s="5">
        <v>1</v>
      </c>
      <c r="B15" s="157" t="s">
        <v>66</v>
      </c>
      <c r="C15" s="158"/>
      <c r="D15" s="158"/>
      <c r="E15" s="158"/>
      <c r="F15" s="158"/>
      <c r="G15" s="158"/>
      <c r="H15" s="159"/>
      <c r="I15" s="150" t="s">
        <v>67</v>
      </c>
      <c r="J15" s="149"/>
      <c r="K15" s="3" t="s">
        <v>68</v>
      </c>
      <c r="L15" s="150" t="s">
        <v>69</v>
      </c>
      <c r="M15" s="149"/>
      <c r="N15" s="150" t="s">
        <v>70</v>
      </c>
      <c r="O15" s="149"/>
      <c r="P15" s="182" t="s">
        <v>71</v>
      </c>
      <c r="Q15" s="183"/>
    </row>
    <row r="16" spans="1:17" ht="24" customHeight="1" x14ac:dyDescent="0.2">
      <c r="A16" s="5">
        <v>2</v>
      </c>
      <c r="B16" s="160" t="s">
        <v>72</v>
      </c>
      <c r="C16" s="161"/>
      <c r="D16" s="161"/>
      <c r="E16" s="161"/>
      <c r="F16" s="161"/>
      <c r="G16" s="161"/>
      <c r="H16" s="161"/>
      <c r="I16" s="161"/>
      <c r="J16" s="191" t="s">
        <v>73</v>
      </c>
      <c r="K16" s="151"/>
      <c r="L16" s="151"/>
      <c r="M16" s="151"/>
      <c r="N16" s="151"/>
      <c r="O16" s="151"/>
      <c r="P16" s="151"/>
      <c r="Q16" s="183"/>
    </row>
    <row r="17" spans="1:17" ht="21.75" customHeight="1" x14ac:dyDescent="0.2">
      <c r="A17" s="5">
        <v>3</v>
      </c>
      <c r="B17" s="160" t="s">
        <v>74</v>
      </c>
      <c r="C17" s="161"/>
      <c r="D17" s="161"/>
      <c r="E17" s="161"/>
      <c r="F17" s="161"/>
      <c r="G17" s="161"/>
      <c r="H17" s="161"/>
      <c r="I17" s="161"/>
      <c r="J17" s="150" t="s">
        <v>75</v>
      </c>
      <c r="K17" s="149"/>
      <c r="L17" s="150" t="s">
        <v>76</v>
      </c>
      <c r="M17" s="149"/>
      <c r="N17" s="150" t="s">
        <v>77</v>
      </c>
      <c r="O17" s="149"/>
      <c r="P17" s="182" t="s">
        <v>78</v>
      </c>
      <c r="Q17" s="183"/>
    </row>
    <row r="18" spans="1:17" ht="21.75" customHeight="1" x14ac:dyDescent="0.2">
      <c r="A18" s="5">
        <v>4</v>
      </c>
      <c r="B18" s="160" t="s">
        <v>79</v>
      </c>
      <c r="C18" s="161"/>
      <c r="D18" s="161"/>
      <c r="E18" s="161"/>
      <c r="F18" s="161"/>
      <c r="G18" s="161"/>
      <c r="H18" s="161"/>
      <c r="I18" s="161"/>
      <c r="J18" s="150" t="s">
        <v>80</v>
      </c>
      <c r="K18" s="149"/>
      <c r="L18" s="150" t="s">
        <v>81</v>
      </c>
      <c r="M18" s="149"/>
      <c r="N18" s="150" t="s">
        <v>82</v>
      </c>
      <c r="O18" s="149"/>
      <c r="P18" s="182" t="s">
        <v>83</v>
      </c>
      <c r="Q18" s="183"/>
    </row>
    <row r="19" spans="1:17" ht="21.75" customHeight="1" x14ac:dyDescent="0.2">
      <c r="A19" s="5">
        <v>5</v>
      </c>
      <c r="B19" s="160" t="s">
        <v>84</v>
      </c>
      <c r="C19" s="161"/>
      <c r="D19" s="161"/>
      <c r="E19" s="161"/>
      <c r="F19" s="161"/>
      <c r="G19" s="161"/>
      <c r="H19" s="161"/>
      <c r="I19" s="161"/>
      <c r="J19" s="189" t="s">
        <v>85</v>
      </c>
      <c r="K19" s="149"/>
      <c r="L19" s="189" t="s">
        <v>86</v>
      </c>
      <c r="M19" s="151"/>
      <c r="N19" s="151"/>
      <c r="O19" s="151"/>
      <c r="P19" s="151"/>
      <c r="Q19" s="183"/>
    </row>
    <row r="20" spans="1:17" ht="24" customHeight="1" x14ac:dyDescent="0.2">
      <c r="A20" s="5">
        <v>6</v>
      </c>
      <c r="B20" s="160" t="s">
        <v>87</v>
      </c>
      <c r="C20" s="161"/>
      <c r="D20" s="161"/>
      <c r="E20" s="161"/>
      <c r="F20" s="161"/>
      <c r="G20" s="161"/>
      <c r="H20" s="161"/>
      <c r="I20" s="161"/>
      <c r="J20" s="1" t="s">
        <v>88</v>
      </c>
      <c r="K20" s="6" t="s">
        <v>89</v>
      </c>
      <c r="L20" s="150" t="s">
        <v>45</v>
      </c>
      <c r="M20" s="149"/>
      <c r="N20" s="188" t="s">
        <v>90</v>
      </c>
      <c r="O20" s="149"/>
      <c r="P20" s="189" t="s">
        <v>91</v>
      </c>
      <c r="Q20" s="183"/>
    </row>
    <row r="21" spans="1:17" ht="24" customHeight="1" x14ac:dyDescent="0.2">
      <c r="A21" s="5">
        <v>7</v>
      </c>
      <c r="B21" s="160" t="s">
        <v>92</v>
      </c>
      <c r="C21" s="161"/>
      <c r="D21" s="161"/>
      <c r="E21" s="161"/>
      <c r="F21" s="161"/>
      <c r="G21" s="161"/>
      <c r="H21" s="161"/>
      <c r="I21" s="161"/>
      <c r="J21" s="1" t="s">
        <v>93</v>
      </c>
      <c r="K21" s="6" t="s">
        <v>94</v>
      </c>
      <c r="L21" s="150" t="s">
        <v>46</v>
      </c>
      <c r="M21" s="149"/>
      <c r="N21" s="188" t="s">
        <v>95</v>
      </c>
      <c r="O21" s="149"/>
      <c r="P21" s="189" t="s">
        <v>96</v>
      </c>
      <c r="Q21" s="183"/>
    </row>
    <row r="22" spans="1:17" ht="24" customHeight="1" x14ac:dyDescent="0.2">
      <c r="A22" s="5">
        <v>8</v>
      </c>
      <c r="B22" s="160" t="s">
        <v>97</v>
      </c>
      <c r="C22" s="161"/>
      <c r="D22" s="161"/>
      <c r="E22" s="161"/>
      <c r="F22" s="161"/>
      <c r="G22" s="161"/>
      <c r="H22" s="161"/>
      <c r="I22" s="162"/>
      <c r="J22" s="1" t="s">
        <v>98</v>
      </c>
      <c r="K22" s="6" t="s">
        <v>99</v>
      </c>
      <c r="L22" s="150" t="s">
        <v>47</v>
      </c>
      <c r="M22" s="149"/>
      <c r="N22" s="188" t="s">
        <v>100</v>
      </c>
      <c r="O22" s="149"/>
      <c r="P22" s="189" t="s">
        <v>101</v>
      </c>
      <c r="Q22" s="183"/>
    </row>
    <row r="23" spans="1:17" ht="24" customHeight="1" x14ac:dyDescent="0.2">
      <c r="A23" s="5">
        <v>9</v>
      </c>
      <c r="B23" s="160" t="s">
        <v>102</v>
      </c>
      <c r="C23" s="161"/>
      <c r="D23" s="161"/>
      <c r="E23" s="161"/>
      <c r="F23" s="161"/>
      <c r="G23" s="161"/>
      <c r="H23" s="161"/>
      <c r="I23" s="162"/>
      <c r="J23" s="1" t="s">
        <v>103</v>
      </c>
      <c r="K23" s="6" t="s">
        <v>96</v>
      </c>
      <c r="L23" s="150" t="s">
        <v>104</v>
      </c>
      <c r="M23" s="149"/>
      <c r="N23" s="188" t="s">
        <v>105</v>
      </c>
      <c r="O23" s="149"/>
      <c r="P23" s="189" t="s">
        <v>106</v>
      </c>
      <c r="Q23" s="183"/>
    </row>
    <row r="24" spans="1:17" ht="24" customHeight="1" x14ac:dyDescent="0.2">
      <c r="A24" s="5">
        <v>10</v>
      </c>
      <c r="B24" s="160" t="s">
        <v>107</v>
      </c>
      <c r="C24" s="161"/>
      <c r="D24" s="161"/>
      <c r="E24" s="161"/>
      <c r="F24" s="161"/>
      <c r="G24" s="161"/>
      <c r="H24" s="161"/>
      <c r="I24" s="162"/>
      <c r="J24" s="1" t="s">
        <v>108</v>
      </c>
      <c r="K24" s="6" t="s">
        <v>109</v>
      </c>
      <c r="L24" s="150" t="s">
        <v>110</v>
      </c>
      <c r="M24" s="149"/>
      <c r="N24" s="188" t="s">
        <v>111</v>
      </c>
      <c r="O24" s="149"/>
      <c r="P24" s="189" t="s">
        <v>112</v>
      </c>
      <c r="Q24" s="183"/>
    </row>
    <row r="25" spans="1:17" ht="21.75" customHeight="1" x14ac:dyDescent="0.2">
      <c r="A25" s="5">
        <v>11</v>
      </c>
      <c r="B25" s="160" t="s">
        <v>113</v>
      </c>
      <c r="C25" s="161"/>
      <c r="D25" s="161"/>
      <c r="E25" s="161"/>
      <c r="F25" s="161"/>
      <c r="G25" s="161"/>
      <c r="H25" s="161"/>
      <c r="I25" s="161"/>
      <c r="J25" s="1" t="s">
        <v>114</v>
      </c>
      <c r="K25" s="6" t="s">
        <v>115</v>
      </c>
      <c r="L25" s="192" t="s">
        <v>116</v>
      </c>
      <c r="M25" s="158"/>
      <c r="N25" s="158"/>
      <c r="O25" s="158"/>
      <c r="P25" s="158"/>
      <c r="Q25" s="171"/>
    </row>
    <row r="26" spans="1:17" ht="30" customHeight="1" x14ac:dyDescent="0.2">
      <c r="A26" s="7">
        <v>12</v>
      </c>
      <c r="B26" s="163" t="s">
        <v>117</v>
      </c>
      <c r="C26" s="113"/>
      <c r="D26" s="113"/>
      <c r="E26" s="113"/>
      <c r="F26" s="113"/>
      <c r="G26" s="113"/>
      <c r="H26" s="113"/>
      <c r="I26" s="164"/>
      <c r="J26" s="8" t="s">
        <v>118</v>
      </c>
      <c r="K26" s="9" t="s">
        <v>119</v>
      </c>
      <c r="L26" s="10" t="s">
        <v>120</v>
      </c>
      <c r="M26" s="193"/>
      <c r="N26" s="194"/>
      <c r="O26" s="11" t="s">
        <v>121</v>
      </c>
      <c r="P26" s="195"/>
      <c r="Q26" s="196"/>
    </row>
    <row r="27" spans="1:17" ht="12" customHeight="1" x14ac:dyDescent="0.2"/>
    <row r="28" spans="1:17" ht="12" customHeight="1" x14ac:dyDescent="0.2"/>
    <row r="29" spans="1:17" ht="12" customHeight="1" x14ac:dyDescent="0.2"/>
    <row r="30" spans="1:17" ht="12" customHeight="1" x14ac:dyDescent="0.2"/>
    <row r="31" spans="1:17" ht="12" customHeight="1" x14ac:dyDescent="0.2"/>
    <row r="32" spans="1:17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mergeCells count="108">
    <mergeCell ref="L20:M20"/>
    <mergeCell ref="N20:O20"/>
    <mergeCell ref="P20:Q20"/>
    <mergeCell ref="L21:M21"/>
    <mergeCell ref="N21:O21"/>
    <mergeCell ref="P21:Q21"/>
    <mergeCell ref="L25:Q25"/>
    <mergeCell ref="M26:N26"/>
    <mergeCell ref="P26:Q26"/>
    <mergeCell ref="I13:J13"/>
    <mergeCell ref="I14:K14"/>
    <mergeCell ref="I15:J15"/>
    <mergeCell ref="L15:M15"/>
    <mergeCell ref="N15:O15"/>
    <mergeCell ref="P15:Q15"/>
    <mergeCell ref="J16:Q16"/>
    <mergeCell ref="J18:K18"/>
    <mergeCell ref="J19:K19"/>
    <mergeCell ref="J17:K17"/>
    <mergeCell ref="L17:M17"/>
    <mergeCell ref="N17:O17"/>
    <mergeCell ref="P17:Q17"/>
    <mergeCell ref="N18:O18"/>
    <mergeCell ref="P18:Q18"/>
    <mergeCell ref="L19:Q19"/>
    <mergeCell ref="L18:M18"/>
    <mergeCell ref="I10:J10"/>
    <mergeCell ref="L10:M10"/>
    <mergeCell ref="N10:O10"/>
    <mergeCell ref="P10:Q10"/>
    <mergeCell ref="I11:J11"/>
    <mergeCell ref="P11:Q11"/>
    <mergeCell ref="N24:O24"/>
    <mergeCell ref="P24:Q24"/>
    <mergeCell ref="L22:M22"/>
    <mergeCell ref="N22:O22"/>
    <mergeCell ref="P22:Q22"/>
    <mergeCell ref="L23:M23"/>
    <mergeCell ref="N23:O23"/>
    <mergeCell ref="P23:Q23"/>
    <mergeCell ref="L24:M24"/>
    <mergeCell ref="L13:M13"/>
    <mergeCell ref="N13:O13"/>
    <mergeCell ref="L11:M11"/>
    <mergeCell ref="N11:O11"/>
    <mergeCell ref="I12:J12"/>
    <mergeCell ref="L12:M12"/>
    <mergeCell ref="N12:O12"/>
    <mergeCell ref="P12:Q12"/>
    <mergeCell ref="P13:Q13"/>
    <mergeCell ref="A5:D5"/>
    <mergeCell ref="E5:H5"/>
    <mergeCell ref="I5:I6"/>
    <mergeCell ref="J5:J6"/>
    <mergeCell ref="K5:K6"/>
    <mergeCell ref="N8:O8"/>
    <mergeCell ref="P8:Q8"/>
    <mergeCell ref="E8:G8"/>
    <mergeCell ref="E9:G9"/>
    <mergeCell ref="L9:M9"/>
    <mergeCell ref="N9:O9"/>
    <mergeCell ref="P9:Q9"/>
    <mergeCell ref="L5:M6"/>
    <mergeCell ref="N5:O6"/>
    <mergeCell ref="P5:Q6"/>
    <mergeCell ref="L7:M7"/>
    <mergeCell ref="N7:O7"/>
    <mergeCell ref="P7:Q7"/>
    <mergeCell ref="L8:M8"/>
    <mergeCell ref="A1:D1"/>
    <mergeCell ref="E1:H1"/>
    <mergeCell ref="I1:Q1"/>
    <mergeCell ref="A2:D2"/>
    <mergeCell ref="E2:H2"/>
    <mergeCell ref="I2:Q4"/>
    <mergeCell ref="E3:H3"/>
    <mergeCell ref="E4:H4"/>
    <mergeCell ref="A3:D3"/>
    <mergeCell ref="A4:D4"/>
    <mergeCell ref="B15:H15"/>
    <mergeCell ref="B21:I21"/>
    <mergeCell ref="B22:I22"/>
    <mergeCell ref="B23:I23"/>
    <mergeCell ref="B24:I24"/>
    <mergeCell ref="B25:I25"/>
    <mergeCell ref="B26:I26"/>
    <mergeCell ref="B14:C14"/>
    <mergeCell ref="E14:G14"/>
    <mergeCell ref="B16:I16"/>
    <mergeCell ref="B17:I17"/>
    <mergeCell ref="B18:I18"/>
    <mergeCell ref="B19:I19"/>
    <mergeCell ref="B20:I20"/>
    <mergeCell ref="B11:C11"/>
    <mergeCell ref="E11:G11"/>
    <mergeCell ref="B12:C12"/>
    <mergeCell ref="E12:G12"/>
    <mergeCell ref="B13:C13"/>
    <mergeCell ref="E13:G13"/>
    <mergeCell ref="A6:D6"/>
    <mergeCell ref="E6:H6"/>
    <mergeCell ref="A7:A14"/>
    <mergeCell ref="B7:C7"/>
    <mergeCell ref="E7:G7"/>
    <mergeCell ref="B8:C8"/>
    <mergeCell ref="B9:C9"/>
    <mergeCell ref="B10:C10"/>
    <mergeCell ref="E10:G10"/>
  </mergeCells>
  <pageMargins left="0.5" right="0.25" top="0.5" bottom="0.2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990"/>
  <sheetViews>
    <sheetView tabSelected="1" view="pageLayout" zoomScaleNormal="100" workbookViewId="0">
      <selection activeCell="H6" sqref="H6:I6"/>
    </sheetView>
  </sheetViews>
  <sheetFormatPr defaultColWidth="1.85546875" defaultRowHeight="15" customHeight="1" x14ac:dyDescent="0.2"/>
  <cols>
    <col min="1" max="7" width="7.7109375" customWidth="1"/>
    <col min="8" max="8" width="6" customWidth="1"/>
    <col min="9" max="9" width="6.5703125" customWidth="1"/>
    <col min="10" max="12" width="7.7109375" customWidth="1"/>
    <col min="13" max="13" width="6.140625" customWidth="1"/>
    <col min="14" max="14" width="6.42578125" customWidth="1"/>
    <col min="15" max="15" width="6.5703125" customWidth="1"/>
    <col min="16" max="16" width="15.42578125" customWidth="1"/>
    <col min="17" max="17" width="10.7109375" customWidth="1"/>
    <col min="18" max="18" width="9.7109375" customWidth="1"/>
    <col min="19" max="19" width="10" customWidth="1"/>
    <col min="20" max="21" width="10.140625" customWidth="1"/>
  </cols>
  <sheetData>
    <row r="1" spans="1:21" ht="15.75" customHeight="1" x14ac:dyDescent="0.2">
      <c r="A1" s="69" t="s">
        <v>149</v>
      </c>
      <c r="B1" s="70"/>
      <c r="C1" s="70"/>
      <c r="D1" s="70"/>
      <c r="E1" s="70"/>
      <c r="F1" s="70"/>
      <c r="G1" s="71"/>
      <c r="H1" s="124" t="s">
        <v>146</v>
      </c>
      <c r="I1" s="70"/>
      <c r="J1" s="70"/>
      <c r="K1" s="71"/>
      <c r="L1" s="97" t="s">
        <v>1</v>
      </c>
      <c r="M1" s="98"/>
      <c r="N1" s="98"/>
      <c r="O1" s="98"/>
      <c r="P1" s="98"/>
      <c r="Q1" s="41" t="s">
        <v>156</v>
      </c>
      <c r="R1" s="42"/>
      <c r="S1" s="42"/>
      <c r="T1" s="42"/>
      <c r="U1" s="43"/>
    </row>
    <row r="2" spans="1:21" ht="24" customHeight="1" x14ac:dyDescent="0.2">
      <c r="A2" s="72" t="s">
        <v>158</v>
      </c>
      <c r="B2" s="73"/>
      <c r="C2" s="73"/>
      <c r="D2" s="73"/>
      <c r="E2" s="73"/>
      <c r="F2" s="73"/>
      <c r="G2" s="74"/>
      <c r="H2" s="121">
        <v>68.331000000000003</v>
      </c>
      <c r="I2" s="122"/>
      <c r="J2" s="122"/>
      <c r="K2" s="123"/>
      <c r="L2" s="99" t="s">
        <v>157</v>
      </c>
      <c r="M2" s="100"/>
      <c r="N2" s="100"/>
      <c r="O2" s="100"/>
      <c r="P2" s="100"/>
      <c r="Q2" s="44" t="s">
        <v>155</v>
      </c>
      <c r="R2" s="45"/>
      <c r="S2" s="45"/>
      <c r="T2" s="45"/>
      <c r="U2" s="46"/>
    </row>
    <row r="3" spans="1:21" ht="15" customHeight="1" x14ac:dyDescent="0.2">
      <c r="A3" s="75" t="s">
        <v>3</v>
      </c>
      <c r="B3" s="76"/>
      <c r="C3" s="76"/>
      <c r="D3" s="76"/>
      <c r="E3" s="76"/>
      <c r="F3" s="76"/>
      <c r="G3" s="77"/>
      <c r="H3" s="125" t="s">
        <v>145</v>
      </c>
      <c r="I3" s="126"/>
      <c r="J3" s="126"/>
      <c r="K3" s="127"/>
      <c r="L3" s="101"/>
      <c r="M3" s="102"/>
      <c r="N3" s="102"/>
      <c r="O3" s="102"/>
      <c r="P3" s="103"/>
      <c r="Q3" s="47"/>
      <c r="R3" s="45"/>
      <c r="S3" s="45"/>
      <c r="T3" s="45"/>
      <c r="U3" s="46"/>
    </row>
    <row r="4" spans="1:21" ht="28.5" customHeight="1" x14ac:dyDescent="0.2">
      <c r="A4" s="72" t="s">
        <v>159</v>
      </c>
      <c r="B4" s="73"/>
      <c r="C4" s="73"/>
      <c r="D4" s="73"/>
      <c r="E4" s="73"/>
      <c r="F4" s="73"/>
      <c r="G4" s="74"/>
      <c r="H4" s="121">
        <v>-120.443</v>
      </c>
      <c r="I4" s="122"/>
      <c r="J4" s="122"/>
      <c r="K4" s="123"/>
      <c r="L4" s="104"/>
      <c r="M4" s="105"/>
      <c r="N4" s="105"/>
      <c r="O4" s="105"/>
      <c r="P4" s="105"/>
      <c r="Q4" s="47"/>
      <c r="R4" s="45"/>
      <c r="S4" s="45"/>
      <c r="T4" s="45"/>
      <c r="U4" s="46"/>
    </row>
    <row r="5" spans="1:21" ht="15" customHeight="1" x14ac:dyDescent="0.2">
      <c r="A5" s="55" t="s">
        <v>144</v>
      </c>
      <c r="B5" s="56"/>
      <c r="C5" s="35" t="s">
        <v>141</v>
      </c>
      <c r="D5" s="35"/>
      <c r="E5" s="78" t="s">
        <v>122</v>
      </c>
      <c r="F5" s="78"/>
      <c r="G5" s="78"/>
      <c r="H5" s="51" t="s">
        <v>123</v>
      </c>
      <c r="I5" s="52"/>
      <c r="J5" s="117" t="s">
        <v>124</v>
      </c>
      <c r="K5" s="52"/>
      <c r="L5" s="117" t="s">
        <v>6</v>
      </c>
      <c r="M5" s="118"/>
      <c r="N5" s="106" t="s">
        <v>4</v>
      </c>
      <c r="O5" s="107"/>
      <c r="P5" s="107"/>
      <c r="Q5" s="47"/>
      <c r="R5" s="45"/>
      <c r="S5" s="45"/>
      <c r="T5" s="45"/>
      <c r="U5" s="46"/>
    </row>
    <row r="6" spans="1:21" ht="27" customHeight="1" thickBot="1" x14ac:dyDescent="0.25">
      <c r="A6" s="53" t="s">
        <v>160</v>
      </c>
      <c r="B6" s="54"/>
      <c r="C6" s="143">
        <v>5</v>
      </c>
      <c r="D6" s="144"/>
      <c r="E6" s="79">
        <v>33</v>
      </c>
      <c r="F6" s="80"/>
      <c r="G6" s="81"/>
      <c r="H6" s="128" t="str">
        <f>IF(OR(H2="",H4=""),"",
  _xlfn.LET(
    _xlpm.lon, H4,
    _xlpm.lat, H2,
    _xlpm.std_zone, INT((MOD(_xlpm.lon+180,360))/6)+1,
    _xlpm.hemi, IF(_xlpm.lat&gt;=0,"N","S"),
    _xlpm.adj_zone,
      IF(AND(_xlpm.lat&gt;=56,_xlpm.lat&lt;64,_xlpm.lon&gt;=3,_xlpm.lon&lt;12), 32,
        IF(AND(_xlpm.lat&gt;=72,_xlpm.lat&lt;84),
          IF(AND(_xlpm.lon&gt;=0,_xlpm.lon&lt;9), 31,
            IF(AND(_xlpm.lon&gt;=9,_xlpm.lon&lt;21), 33,
              IF(AND(_xlpm.lon&gt;=21,_xlpm.lon&lt;33), 35,
                IF(AND(_xlpm.lon&gt;=33,_xlpm.lon&lt;42), 37,
                _xlpm.std_zone)))),
        _xlpm.std_zone)),
    _xlfn.CONCAT(_xlpm.adj_zone, " ", _xlpm.hemi)
  )
)</f>
        <v>10 N</v>
      </c>
      <c r="I6" s="129"/>
      <c r="J6" s="130"/>
      <c r="K6" s="131"/>
      <c r="L6" s="108">
        <v>43385</v>
      </c>
      <c r="M6" s="109"/>
      <c r="N6" s="110">
        <v>0.64861111111111114</v>
      </c>
      <c r="O6" s="111"/>
      <c r="P6" s="111"/>
      <c r="Q6" s="48"/>
      <c r="R6" s="49"/>
      <c r="S6" s="49"/>
      <c r="T6" s="49"/>
      <c r="U6" s="50"/>
    </row>
    <row r="7" spans="1:21" ht="15" customHeight="1" thickBot="1" x14ac:dyDescent="0.25">
      <c r="A7" s="91" t="s">
        <v>125</v>
      </c>
      <c r="B7" s="92"/>
      <c r="C7" s="92"/>
      <c r="D7" s="145"/>
      <c r="E7" s="133" t="s">
        <v>126</v>
      </c>
      <c r="F7" s="134"/>
      <c r="G7" s="135"/>
      <c r="H7" s="91" t="s">
        <v>127</v>
      </c>
      <c r="I7" s="92"/>
      <c r="J7" s="92"/>
      <c r="K7" s="92"/>
      <c r="L7" s="92"/>
      <c r="M7" s="92"/>
      <c r="N7" s="92"/>
      <c r="O7" s="92"/>
      <c r="P7" s="93"/>
      <c r="Q7" s="84" t="s">
        <v>128</v>
      </c>
      <c r="R7" s="85"/>
      <c r="S7" s="86"/>
      <c r="T7" s="37" t="s">
        <v>150</v>
      </c>
      <c r="U7" s="38"/>
    </row>
    <row r="8" spans="1:21" ht="36.75" customHeight="1" x14ac:dyDescent="0.2">
      <c r="A8" s="82" t="s">
        <v>129</v>
      </c>
      <c r="B8" s="83"/>
      <c r="C8" s="136" t="s">
        <v>140</v>
      </c>
      <c r="D8" s="142"/>
      <c r="E8" s="19" t="s">
        <v>130</v>
      </c>
      <c r="F8" s="136" t="s">
        <v>142</v>
      </c>
      <c r="G8" s="137"/>
      <c r="H8" s="112" t="s">
        <v>130</v>
      </c>
      <c r="I8" s="113"/>
      <c r="J8" s="114" t="s">
        <v>147</v>
      </c>
      <c r="K8" s="113"/>
      <c r="L8" s="113"/>
      <c r="M8" s="119" t="s">
        <v>131</v>
      </c>
      <c r="N8" s="119" t="s">
        <v>132</v>
      </c>
      <c r="O8" s="115" t="s">
        <v>133</v>
      </c>
      <c r="P8" s="89" t="s">
        <v>152</v>
      </c>
      <c r="Q8" s="87" t="s">
        <v>153</v>
      </c>
      <c r="R8" s="18" t="s">
        <v>130</v>
      </c>
      <c r="S8" s="146" t="s">
        <v>154</v>
      </c>
      <c r="T8" s="39" t="s">
        <v>151</v>
      </c>
      <c r="U8" s="146" t="s">
        <v>154</v>
      </c>
    </row>
    <row r="9" spans="1:21" ht="22.5" customHeight="1" x14ac:dyDescent="0.2">
      <c r="A9" s="12" t="s">
        <v>134</v>
      </c>
      <c r="B9" s="13" t="s">
        <v>135</v>
      </c>
      <c r="C9" s="140" t="s">
        <v>148</v>
      </c>
      <c r="D9" s="141"/>
      <c r="E9" s="20" t="s">
        <v>65</v>
      </c>
      <c r="F9" s="138" t="s">
        <v>143</v>
      </c>
      <c r="G9" s="139"/>
      <c r="H9" s="14" t="s">
        <v>134</v>
      </c>
      <c r="I9" s="17" t="s">
        <v>136</v>
      </c>
      <c r="J9" s="1" t="s">
        <v>137</v>
      </c>
      <c r="K9" s="1" t="s">
        <v>138</v>
      </c>
      <c r="L9" s="1" t="s">
        <v>139</v>
      </c>
      <c r="M9" s="120"/>
      <c r="N9" s="120"/>
      <c r="O9" s="116"/>
      <c r="P9" s="90"/>
      <c r="Q9" s="88"/>
      <c r="R9" s="15" t="s">
        <v>134</v>
      </c>
      <c r="S9" s="147"/>
      <c r="T9" s="40"/>
      <c r="U9" s="147"/>
    </row>
    <row r="10" spans="1:21" ht="19.5" customHeight="1" x14ac:dyDescent="0.2">
      <c r="A10" s="23">
        <v>33</v>
      </c>
      <c r="B10" s="24">
        <v>28</v>
      </c>
      <c r="C10" s="22">
        <v>13.2</v>
      </c>
      <c r="D10" s="22"/>
      <c r="E10" s="21">
        <v>33</v>
      </c>
      <c r="F10" s="33">
        <v>-10</v>
      </c>
      <c r="G10" s="34"/>
      <c r="H10" s="57">
        <v>33</v>
      </c>
      <c r="I10" s="59">
        <v>23</v>
      </c>
      <c r="J10" s="61">
        <v>0.1</v>
      </c>
      <c r="K10" s="61">
        <v>0.8</v>
      </c>
      <c r="L10" s="61">
        <f>AVERAGE(J10:K11)</f>
        <v>0.45</v>
      </c>
      <c r="M10" s="96" t="s">
        <v>89</v>
      </c>
      <c r="N10" s="96"/>
      <c r="O10" s="96"/>
      <c r="P10" s="68"/>
      <c r="Q10" s="25"/>
      <c r="R10" s="26"/>
      <c r="S10" s="27"/>
      <c r="T10" s="31"/>
      <c r="U10" s="32"/>
    </row>
    <row r="11" spans="1:21" ht="19.5" customHeight="1" x14ac:dyDescent="0.2">
      <c r="A11" s="23">
        <v>28</v>
      </c>
      <c r="B11" s="24">
        <v>23</v>
      </c>
      <c r="C11" s="22">
        <v>12.7</v>
      </c>
      <c r="D11" s="22"/>
      <c r="E11" s="21">
        <v>28</v>
      </c>
      <c r="F11" s="33">
        <v>-8</v>
      </c>
      <c r="G11" s="34"/>
      <c r="H11" s="58"/>
      <c r="I11" s="60"/>
      <c r="J11" s="62"/>
      <c r="K11" s="63"/>
      <c r="L11" s="63"/>
      <c r="M11" s="95"/>
      <c r="N11" s="95"/>
      <c r="O11" s="95"/>
      <c r="P11" s="36"/>
      <c r="Q11" s="28"/>
      <c r="R11" s="29"/>
      <c r="S11" s="30"/>
      <c r="T11" s="31"/>
      <c r="U11" s="32"/>
    </row>
    <row r="12" spans="1:21" ht="19.5" customHeight="1" x14ac:dyDescent="0.2">
      <c r="A12" s="23">
        <v>23</v>
      </c>
      <c r="B12" s="24">
        <v>18</v>
      </c>
      <c r="C12" s="22">
        <v>11</v>
      </c>
      <c r="D12" s="22"/>
      <c r="E12" s="21">
        <v>23</v>
      </c>
      <c r="F12" s="33">
        <v>-7.5</v>
      </c>
      <c r="G12" s="34"/>
      <c r="H12" s="57">
        <v>23</v>
      </c>
      <c r="I12" s="59">
        <v>13</v>
      </c>
      <c r="J12" s="61">
        <v>0.5</v>
      </c>
      <c r="K12" s="61">
        <v>0.76</v>
      </c>
      <c r="L12" s="61">
        <f>AVERAGE(J12:K13)</f>
        <v>0.63</v>
      </c>
      <c r="M12" s="132" t="s">
        <v>89</v>
      </c>
      <c r="N12" s="66"/>
      <c r="O12" s="66"/>
      <c r="P12" s="36" t="s">
        <v>161</v>
      </c>
      <c r="Q12" s="28"/>
      <c r="R12" s="29"/>
      <c r="S12" s="30"/>
      <c r="T12" s="31"/>
      <c r="U12" s="32"/>
    </row>
    <row r="13" spans="1:21" ht="19.5" customHeight="1" x14ac:dyDescent="0.2">
      <c r="A13" s="23">
        <v>18</v>
      </c>
      <c r="B13" s="24">
        <v>13</v>
      </c>
      <c r="C13" s="22">
        <v>9</v>
      </c>
      <c r="D13" s="22"/>
      <c r="E13" s="21">
        <v>18</v>
      </c>
      <c r="F13" s="33">
        <v>-6.9</v>
      </c>
      <c r="G13" s="34"/>
      <c r="H13" s="58"/>
      <c r="I13" s="60"/>
      <c r="J13" s="62"/>
      <c r="K13" s="63"/>
      <c r="L13" s="63"/>
      <c r="M13" s="95"/>
      <c r="N13" s="95"/>
      <c r="O13" s="95"/>
      <c r="P13" s="36"/>
      <c r="Q13" s="28"/>
      <c r="R13" s="29"/>
      <c r="S13" s="30"/>
      <c r="T13" s="31"/>
      <c r="U13" s="32"/>
    </row>
    <row r="14" spans="1:21" ht="19.5" customHeight="1" x14ac:dyDescent="0.2">
      <c r="A14" s="23">
        <v>13</v>
      </c>
      <c r="B14" s="24">
        <v>8</v>
      </c>
      <c r="C14" s="22">
        <v>6</v>
      </c>
      <c r="D14" s="22"/>
      <c r="E14" s="21">
        <v>13</v>
      </c>
      <c r="F14" s="33">
        <v>-3</v>
      </c>
      <c r="G14" s="34"/>
      <c r="H14" s="57">
        <v>13</v>
      </c>
      <c r="I14" s="59">
        <v>3</v>
      </c>
      <c r="J14" s="61">
        <v>0.7</v>
      </c>
      <c r="K14" s="61">
        <v>0.9</v>
      </c>
      <c r="L14" s="61">
        <f>AVERAGE(J14:K15)</f>
        <v>0.8</v>
      </c>
      <c r="M14" s="66" t="s">
        <v>99</v>
      </c>
      <c r="N14" s="66"/>
      <c r="O14" s="66"/>
      <c r="P14" s="36"/>
      <c r="Q14" s="28"/>
      <c r="R14" s="29"/>
      <c r="S14" s="30"/>
      <c r="T14" s="31"/>
      <c r="U14" s="32"/>
    </row>
    <row r="15" spans="1:21" ht="19.5" customHeight="1" x14ac:dyDescent="0.2">
      <c r="A15" s="23">
        <v>8</v>
      </c>
      <c r="B15" s="24">
        <v>3</v>
      </c>
      <c r="C15" s="22">
        <v>6</v>
      </c>
      <c r="D15" s="22"/>
      <c r="E15" s="21">
        <v>8</v>
      </c>
      <c r="F15" s="33">
        <v>-2.5</v>
      </c>
      <c r="G15" s="34"/>
      <c r="H15" s="58"/>
      <c r="I15" s="60"/>
      <c r="J15" s="62"/>
      <c r="K15" s="63"/>
      <c r="L15" s="63"/>
      <c r="M15" s="95"/>
      <c r="N15" s="95"/>
      <c r="O15" s="95"/>
      <c r="P15" s="36"/>
      <c r="Q15" s="28"/>
      <c r="R15" s="29"/>
      <c r="S15" s="30"/>
      <c r="T15" s="31"/>
      <c r="U15" s="32"/>
    </row>
    <row r="16" spans="1:21" ht="19.5" customHeight="1" x14ac:dyDescent="0.2">
      <c r="A16" s="23">
        <v>3</v>
      </c>
      <c r="B16" s="24">
        <v>0</v>
      </c>
      <c r="C16" s="22">
        <v>5.8</v>
      </c>
      <c r="D16" s="22"/>
      <c r="E16" s="21">
        <v>3</v>
      </c>
      <c r="F16" s="33">
        <v>-1</v>
      </c>
      <c r="G16" s="34"/>
      <c r="H16" s="57"/>
      <c r="I16" s="59"/>
      <c r="J16" s="61"/>
      <c r="K16" s="61"/>
      <c r="L16" s="61"/>
      <c r="M16" s="66"/>
      <c r="N16" s="66"/>
      <c r="O16" s="66"/>
      <c r="P16" s="36"/>
      <c r="Q16" s="28"/>
      <c r="R16" s="29"/>
      <c r="S16" s="30"/>
      <c r="T16" s="31"/>
      <c r="U16" s="32"/>
    </row>
    <row r="17" spans="1:21" ht="19.5" customHeight="1" x14ac:dyDescent="0.2">
      <c r="A17" s="23"/>
      <c r="B17" s="24"/>
      <c r="C17" s="22"/>
      <c r="D17" s="22"/>
      <c r="E17" s="21"/>
      <c r="F17" s="33"/>
      <c r="G17" s="34"/>
      <c r="H17" s="58"/>
      <c r="I17" s="60"/>
      <c r="J17" s="62"/>
      <c r="K17" s="63"/>
      <c r="L17" s="63"/>
      <c r="M17" s="95"/>
      <c r="N17" s="95"/>
      <c r="O17" s="95"/>
      <c r="P17" s="36"/>
      <c r="Q17" s="28"/>
      <c r="R17" s="29"/>
      <c r="S17" s="30"/>
      <c r="T17" s="31"/>
      <c r="U17" s="32"/>
    </row>
    <row r="18" spans="1:21" ht="19.5" customHeight="1" x14ac:dyDescent="0.2">
      <c r="A18" s="23"/>
      <c r="B18" s="24"/>
      <c r="C18" s="22"/>
      <c r="D18" s="22"/>
      <c r="E18" s="21"/>
      <c r="F18" s="33"/>
      <c r="G18" s="34"/>
      <c r="H18" s="57"/>
      <c r="I18" s="59"/>
      <c r="J18" s="61"/>
      <c r="K18" s="61"/>
      <c r="L18" s="61"/>
      <c r="M18" s="66"/>
      <c r="N18" s="66"/>
      <c r="O18" s="66"/>
      <c r="P18" s="36"/>
      <c r="Q18" s="28"/>
      <c r="R18" s="29"/>
      <c r="S18" s="30"/>
      <c r="T18" s="31"/>
      <c r="U18" s="32"/>
    </row>
    <row r="19" spans="1:21" ht="19.5" customHeight="1" x14ac:dyDescent="0.2">
      <c r="A19" s="23"/>
      <c r="B19" s="24"/>
      <c r="C19" s="22"/>
      <c r="D19" s="22"/>
      <c r="E19" s="21"/>
      <c r="F19" s="33"/>
      <c r="G19" s="34"/>
      <c r="H19" s="58"/>
      <c r="I19" s="60"/>
      <c r="J19" s="62"/>
      <c r="K19" s="63"/>
      <c r="L19" s="63"/>
      <c r="M19" s="95"/>
      <c r="N19" s="95"/>
      <c r="O19" s="95"/>
      <c r="P19" s="36"/>
      <c r="Q19" s="28"/>
      <c r="R19" s="29"/>
      <c r="S19" s="30"/>
      <c r="T19" s="31"/>
      <c r="U19" s="32"/>
    </row>
    <row r="20" spans="1:21" ht="19.5" customHeight="1" x14ac:dyDescent="0.2">
      <c r="A20" s="23"/>
      <c r="B20" s="24"/>
      <c r="C20" s="22"/>
      <c r="D20" s="22"/>
      <c r="E20" s="21"/>
      <c r="F20" s="33"/>
      <c r="G20" s="34"/>
      <c r="H20" s="57"/>
      <c r="I20" s="59"/>
      <c r="J20" s="61"/>
      <c r="K20" s="61"/>
      <c r="L20" s="61"/>
      <c r="M20" s="66"/>
      <c r="N20" s="66"/>
      <c r="O20" s="66"/>
      <c r="P20" s="36"/>
      <c r="Q20" s="28"/>
      <c r="R20" s="29"/>
      <c r="S20" s="30"/>
      <c r="T20" s="31"/>
      <c r="U20" s="32"/>
    </row>
    <row r="21" spans="1:21" ht="19.5" customHeight="1" x14ac:dyDescent="0.2">
      <c r="A21" s="23"/>
      <c r="B21" s="24"/>
      <c r="C21" s="22"/>
      <c r="D21" s="22"/>
      <c r="E21" s="21"/>
      <c r="F21" s="33"/>
      <c r="G21" s="34"/>
      <c r="H21" s="58"/>
      <c r="I21" s="60"/>
      <c r="J21" s="62"/>
      <c r="K21" s="63"/>
      <c r="L21" s="63"/>
      <c r="M21" s="95"/>
      <c r="N21" s="95"/>
      <c r="O21" s="95"/>
      <c r="P21" s="36"/>
      <c r="Q21" s="28"/>
      <c r="R21" s="29"/>
      <c r="S21" s="30"/>
      <c r="T21" s="31"/>
      <c r="U21" s="32"/>
    </row>
    <row r="22" spans="1:21" ht="19.5" customHeight="1" x14ac:dyDescent="0.2">
      <c r="A22" s="23"/>
      <c r="B22" s="24"/>
      <c r="C22" s="22"/>
      <c r="D22" s="22"/>
      <c r="E22" s="21"/>
      <c r="F22" s="33"/>
      <c r="G22" s="34"/>
      <c r="H22" s="57"/>
      <c r="I22" s="59"/>
      <c r="J22" s="61"/>
      <c r="K22" s="61"/>
      <c r="L22" s="61"/>
      <c r="M22" s="66"/>
      <c r="N22" s="66"/>
      <c r="O22" s="66"/>
      <c r="P22" s="36"/>
      <c r="Q22" s="28"/>
      <c r="R22" s="29"/>
      <c r="S22" s="30"/>
      <c r="T22" s="31"/>
      <c r="U22" s="32"/>
    </row>
    <row r="23" spans="1:21" ht="19.5" customHeight="1" x14ac:dyDescent="0.2">
      <c r="A23" s="23"/>
      <c r="B23" s="24"/>
      <c r="C23" s="22"/>
      <c r="D23" s="22"/>
      <c r="E23" s="21"/>
      <c r="F23" s="33"/>
      <c r="G23" s="34"/>
      <c r="H23" s="58"/>
      <c r="I23" s="60"/>
      <c r="J23" s="62"/>
      <c r="K23" s="63"/>
      <c r="L23" s="63"/>
      <c r="M23" s="95"/>
      <c r="N23" s="95"/>
      <c r="O23" s="95"/>
      <c r="P23" s="36"/>
      <c r="Q23" s="28"/>
      <c r="R23" s="29"/>
      <c r="S23" s="30"/>
      <c r="T23" s="31"/>
      <c r="U23" s="32"/>
    </row>
    <row r="24" spans="1:21" ht="19.5" customHeight="1" x14ac:dyDescent="0.2">
      <c r="A24" s="23"/>
      <c r="B24" s="24"/>
      <c r="C24" s="22"/>
      <c r="D24" s="22"/>
      <c r="E24" s="21"/>
      <c r="F24" s="33"/>
      <c r="G24" s="34"/>
      <c r="H24" s="57"/>
      <c r="I24" s="59"/>
      <c r="J24" s="61"/>
      <c r="K24" s="61"/>
      <c r="L24" s="61"/>
      <c r="M24" s="66"/>
      <c r="N24" s="66"/>
      <c r="O24" s="66"/>
      <c r="P24" s="36"/>
      <c r="Q24" s="28"/>
      <c r="R24" s="29"/>
      <c r="S24" s="30"/>
      <c r="T24" s="31"/>
      <c r="U24" s="32"/>
    </row>
    <row r="25" spans="1:21" ht="19.5" customHeight="1" x14ac:dyDescent="0.2">
      <c r="A25" s="23"/>
      <c r="B25" s="24"/>
      <c r="C25" s="22"/>
      <c r="D25" s="22"/>
      <c r="E25" s="21"/>
      <c r="F25" s="33"/>
      <c r="G25" s="34"/>
      <c r="H25" s="58"/>
      <c r="I25" s="60"/>
      <c r="J25" s="62"/>
      <c r="K25" s="63"/>
      <c r="L25" s="63"/>
      <c r="M25" s="95"/>
      <c r="N25" s="95"/>
      <c r="O25" s="95"/>
      <c r="P25" s="36"/>
      <c r="Q25" s="28"/>
      <c r="R25" s="29"/>
      <c r="S25" s="30"/>
      <c r="T25" s="31"/>
      <c r="U25" s="32"/>
    </row>
    <row r="26" spans="1:21" ht="19.5" customHeight="1" x14ac:dyDescent="0.2">
      <c r="A26" s="23"/>
      <c r="B26" s="24"/>
      <c r="C26" s="22"/>
      <c r="D26" s="22"/>
      <c r="E26" s="21"/>
      <c r="F26" s="33"/>
      <c r="G26" s="34"/>
      <c r="H26" s="57"/>
      <c r="I26" s="59"/>
      <c r="J26" s="61"/>
      <c r="K26" s="61"/>
      <c r="L26" s="61"/>
      <c r="M26" s="66"/>
      <c r="N26" s="66"/>
      <c r="O26" s="66"/>
      <c r="P26" s="36"/>
      <c r="Q26" s="28"/>
      <c r="R26" s="29"/>
      <c r="S26" s="30"/>
      <c r="T26" s="31"/>
      <c r="U26" s="32"/>
    </row>
    <row r="27" spans="1:21" ht="19.5" customHeight="1" x14ac:dyDescent="0.2">
      <c r="A27" s="23"/>
      <c r="B27" s="24"/>
      <c r="C27" s="22"/>
      <c r="D27" s="22"/>
      <c r="E27" s="21"/>
      <c r="F27" s="33"/>
      <c r="G27" s="34"/>
      <c r="H27" s="58"/>
      <c r="I27" s="60"/>
      <c r="J27" s="62"/>
      <c r="K27" s="63"/>
      <c r="L27" s="63"/>
      <c r="M27" s="67"/>
      <c r="N27" s="67"/>
      <c r="O27" s="67"/>
      <c r="P27" s="36"/>
      <c r="Q27" s="28"/>
      <c r="R27" s="29"/>
      <c r="S27" s="30"/>
      <c r="T27" s="31"/>
      <c r="U27" s="32"/>
    </row>
    <row r="28" spans="1:21" ht="19.5" customHeight="1" x14ac:dyDescent="0.2">
      <c r="A28" s="23"/>
      <c r="B28" s="24"/>
      <c r="C28" s="22"/>
      <c r="D28" s="22"/>
      <c r="E28" s="21"/>
      <c r="F28" s="33"/>
      <c r="G28" s="34"/>
      <c r="H28" s="57"/>
      <c r="I28" s="59"/>
      <c r="J28" s="61"/>
      <c r="K28" s="61"/>
      <c r="L28" s="61"/>
      <c r="M28" s="64"/>
      <c r="N28" s="64"/>
      <c r="O28" s="66"/>
      <c r="P28" s="36"/>
      <c r="Q28" s="28"/>
      <c r="R28" s="29"/>
      <c r="S28" s="30"/>
      <c r="T28" s="31"/>
      <c r="U28" s="32"/>
    </row>
    <row r="29" spans="1:21" ht="19.5" customHeight="1" x14ac:dyDescent="0.2">
      <c r="A29" s="23"/>
      <c r="B29" s="24"/>
      <c r="C29" s="22"/>
      <c r="D29" s="22"/>
      <c r="E29" s="21"/>
      <c r="F29" s="33"/>
      <c r="G29" s="34"/>
      <c r="H29" s="58"/>
      <c r="I29" s="60"/>
      <c r="J29" s="62"/>
      <c r="K29" s="63"/>
      <c r="L29" s="63"/>
      <c r="M29" s="65"/>
      <c r="N29" s="65"/>
      <c r="O29" s="67"/>
      <c r="P29" s="36"/>
      <c r="Q29" s="28"/>
      <c r="R29" s="29"/>
      <c r="S29" s="30"/>
      <c r="T29" s="31"/>
      <c r="U29" s="32"/>
    </row>
    <row r="30" spans="1:21" ht="19.5" customHeight="1" x14ac:dyDescent="0.2">
      <c r="A30" s="23"/>
      <c r="B30" s="24"/>
      <c r="C30" s="22"/>
      <c r="D30" s="22"/>
      <c r="E30" s="21"/>
      <c r="F30" s="33"/>
      <c r="G30" s="34"/>
      <c r="H30" s="57"/>
      <c r="I30" s="59"/>
      <c r="J30" s="61"/>
      <c r="K30" s="61"/>
      <c r="L30" s="61"/>
      <c r="M30" s="64"/>
      <c r="N30" s="64"/>
      <c r="O30" s="66"/>
      <c r="P30" s="36"/>
      <c r="Q30" s="28"/>
      <c r="R30" s="29"/>
      <c r="S30" s="30"/>
      <c r="T30" s="31"/>
      <c r="U30" s="32"/>
    </row>
    <row r="31" spans="1:21" ht="19.5" customHeight="1" x14ac:dyDescent="0.2">
      <c r="A31" s="23"/>
      <c r="B31" s="24"/>
      <c r="C31" s="22"/>
      <c r="D31" s="22"/>
      <c r="E31" s="21"/>
      <c r="F31" s="33"/>
      <c r="G31" s="34"/>
      <c r="H31" s="58"/>
      <c r="I31" s="60"/>
      <c r="J31" s="62"/>
      <c r="K31" s="63"/>
      <c r="L31" s="63"/>
      <c r="M31" s="65"/>
      <c r="N31" s="65"/>
      <c r="O31" s="67"/>
      <c r="P31" s="36"/>
      <c r="Q31" s="28"/>
      <c r="R31" s="29"/>
      <c r="S31" s="30"/>
      <c r="T31" s="31"/>
      <c r="U31" s="32"/>
    </row>
    <row r="32" spans="1:21" ht="19.5" customHeight="1" x14ac:dyDescent="0.2">
      <c r="A32" s="23"/>
      <c r="B32" s="24"/>
      <c r="C32" s="22"/>
      <c r="D32" s="22"/>
      <c r="E32" s="21"/>
      <c r="F32" s="33"/>
      <c r="G32" s="34"/>
      <c r="H32" s="57"/>
      <c r="I32" s="59"/>
      <c r="J32" s="61"/>
      <c r="K32" s="61"/>
      <c r="L32" s="61"/>
      <c r="M32" s="64"/>
      <c r="N32" s="64"/>
      <c r="O32" s="66"/>
      <c r="P32" s="36"/>
      <c r="Q32" s="28"/>
      <c r="R32" s="29"/>
      <c r="S32" s="30"/>
      <c r="T32" s="31"/>
      <c r="U32" s="32"/>
    </row>
    <row r="33" spans="1:21" ht="19.5" customHeight="1" x14ac:dyDescent="0.2">
      <c r="A33" s="23"/>
      <c r="B33" s="24"/>
      <c r="C33" s="22"/>
      <c r="D33" s="22"/>
      <c r="E33" s="21"/>
      <c r="F33" s="33"/>
      <c r="G33" s="34"/>
      <c r="H33" s="58"/>
      <c r="I33" s="60"/>
      <c r="J33" s="62"/>
      <c r="K33" s="63"/>
      <c r="L33" s="63"/>
      <c r="M33" s="94"/>
      <c r="N33" s="94"/>
      <c r="O33" s="95"/>
      <c r="P33" s="36"/>
      <c r="Q33" s="28"/>
      <c r="R33" s="29"/>
      <c r="S33" s="30"/>
      <c r="T33" s="31"/>
      <c r="U33" s="32"/>
    </row>
    <row r="34" spans="1:21" ht="12" customHeight="1" x14ac:dyDescent="0.2">
      <c r="A34" s="16"/>
    </row>
    <row r="35" spans="1:21" ht="12" customHeight="1" x14ac:dyDescent="0.2">
      <c r="A35" s="16"/>
    </row>
    <row r="36" spans="1:21" ht="12" customHeight="1" x14ac:dyDescent="0.2">
      <c r="A36" s="16"/>
    </row>
    <row r="37" spans="1:21" ht="12" customHeight="1" x14ac:dyDescent="0.2">
      <c r="A37" s="16"/>
    </row>
    <row r="38" spans="1:21" ht="12" customHeight="1" x14ac:dyDescent="0.2">
      <c r="A38" s="16"/>
    </row>
    <row r="39" spans="1:21" ht="12" customHeight="1" x14ac:dyDescent="0.2">
      <c r="A39" s="16"/>
    </row>
    <row r="40" spans="1:21" ht="12" customHeight="1" x14ac:dyDescent="0.2">
      <c r="A40" s="16"/>
    </row>
    <row r="41" spans="1:21" ht="12" customHeight="1" x14ac:dyDescent="0.2">
      <c r="A41" s="16"/>
    </row>
    <row r="42" spans="1:21" ht="12" customHeight="1" x14ac:dyDescent="0.2">
      <c r="A42" s="16"/>
    </row>
    <row r="43" spans="1:21" ht="12" customHeight="1" x14ac:dyDescent="0.2">
      <c r="A43" s="16"/>
    </row>
    <row r="44" spans="1:21" ht="12" customHeight="1" x14ac:dyDescent="0.2">
      <c r="A44" s="16"/>
    </row>
    <row r="45" spans="1:21" ht="12" customHeight="1" x14ac:dyDescent="0.2">
      <c r="A45" s="16"/>
    </row>
    <row r="46" spans="1:21" ht="12" customHeight="1" x14ac:dyDescent="0.2">
      <c r="A46" s="16"/>
    </row>
    <row r="47" spans="1:21" ht="12" customHeight="1" x14ac:dyDescent="0.2">
      <c r="A47" s="16"/>
    </row>
    <row r="48" spans="1:21" ht="12" customHeight="1" x14ac:dyDescent="0.2">
      <c r="A48" s="16"/>
    </row>
    <row r="49" spans="1:1" ht="12" customHeight="1" x14ac:dyDescent="0.2">
      <c r="A49" s="16"/>
    </row>
    <row r="50" spans="1:1" ht="12" customHeight="1" x14ac:dyDescent="0.2">
      <c r="A50" s="16"/>
    </row>
    <row r="51" spans="1:1" ht="12" customHeight="1" x14ac:dyDescent="0.2">
      <c r="A51" s="16"/>
    </row>
    <row r="52" spans="1:1" ht="12" customHeight="1" x14ac:dyDescent="0.2">
      <c r="A52" s="16"/>
    </row>
    <row r="53" spans="1:1" ht="12" customHeight="1" x14ac:dyDescent="0.2">
      <c r="A53" s="16"/>
    </row>
    <row r="54" spans="1:1" ht="12" customHeight="1" x14ac:dyDescent="0.2">
      <c r="A54" s="16"/>
    </row>
    <row r="55" spans="1:1" ht="12" customHeight="1" x14ac:dyDescent="0.2">
      <c r="A55" s="16"/>
    </row>
    <row r="56" spans="1:1" ht="12" customHeight="1" x14ac:dyDescent="0.2">
      <c r="A56" s="16"/>
    </row>
    <row r="57" spans="1:1" ht="12" customHeight="1" x14ac:dyDescent="0.2">
      <c r="A57" s="16"/>
    </row>
    <row r="58" spans="1:1" ht="12" customHeight="1" x14ac:dyDescent="0.2">
      <c r="A58" s="16"/>
    </row>
    <row r="59" spans="1:1" ht="12" customHeight="1" x14ac:dyDescent="0.2">
      <c r="A59" s="16"/>
    </row>
    <row r="60" spans="1:1" ht="12" customHeight="1" x14ac:dyDescent="0.2">
      <c r="A60" s="16"/>
    </row>
    <row r="61" spans="1:1" ht="12" customHeight="1" x14ac:dyDescent="0.2">
      <c r="A61" s="16"/>
    </row>
    <row r="62" spans="1:1" ht="12" customHeight="1" x14ac:dyDescent="0.2">
      <c r="A62" s="16"/>
    </row>
    <row r="63" spans="1:1" ht="12" customHeight="1" x14ac:dyDescent="0.2">
      <c r="A63" s="16"/>
    </row>
    <row r="64" spans="1:1" ht="12" customHeight="1" x14ac:dyDescent="0.2">
      <c r="A64" s="16"/>
    </row>
    <row r="65" spans="1:1" ht="12" customHeight="1" x14ac:dyDescent="0.2">
      <c r="A65" s="16"/>
    </row>
    <row r="66" spans="1:1" ht="12" customHeight="1" x14ac:dyDescent="0.2">
      <c r="A66" s="16"/>
    </row>
    <row r="67" spans="1:1" ht="12" customHeight="1" x14ac:dyDescent="0.2">
      <c r="A67" s="16"/>
    </row>
    <row r="68" spans="1:1" ht="12" customHeight="1" x14ac:dyDescent="0.2">
      <c r="A68" s="16"/>
    </row>
    <row r="69" spans="1:1" ht="12" customHeight="1" x14ac:dyDescent="0.2">
      <c r="A69" s="16"/>
    </row>
    <row r="70" spans="1:1" ht="12" customHeight="1" x14ac:dyDescent="0.2">
      <c r="A70" s="16"/>
    </row>
    <row r="71" spans="1:1" ht="12" customHeight="1" x14ac:dyDescent="0.2">
      <c r="A71" s="16"/>
    </row>
    <row r="72" spans="1:1" ht="12" customHeight="1" x14ac:dyDescent="0.2">
      <c r="A72" s="16"/>
    </row>
    <row r="73" spans="1:1" ht="12" customHeight="1" x14ac:dyDescent="0.2">
      <c r="A73" s="16"/>
    </row>
    <row r="74" spans="1:1" ht="12" customHeight="1" x14ac:dyDescent="0.2">
      <c r="A74" s="16"/>
    </row>
    <row r="75" spans="1:1" ht="12" customHeight="1" x14ac:dyDescent="0.2">
      <c r="A75" s="16"/>
    </row>
    <row r="76" spans="1:1" ht="12" customHeight="1" x14ac:dyDescent="0.2">
      <c r="A76" s="16"/>
    </row>
    <row r="77" spans="1:1" ht="12" customHeight="1" x14ac:dyDescent="0.2">
      <c r="A77" s="16"/>
    </row>
    <row r="78" spans="1:1" ht="12" customHeight="1" x14ac:dyDescent="0.2">
      <c r="A78" s="16"/>
    </row>
    <row r="79" spans="1:1" ht="12" customHeight="1" x14ac:dyDescent="0.2">
      <c r="A79" s="16"/>
    </row>
    <row r="80" spans="1:1" ht="12" customHeight="1" x14ac:dyDescent="0.2">
      <c r="A80" s="16"/>
    </row>
    <row r="81" spans="1:1" ht="12" customHeight="1" x14ac:dyDescent="0.2">
      <c r="A81" s="16"/>
    </row>
    <row r="82" spans="1:1" ht="12" customHeight="1" x14ac:dyDescent="0.2">
      <c r="A82" s="16"/>
    </row>
    <row r="83" spans="1:1" ht="12" customHeight="1" x14ac:dyDescent="0.2">
      <c r="A83" s="16"/>
    </row>
    <row r="84" spans="1:1" ht="12" customHeight="1" x14ac:dyDescent="0.2">
      <c r="A84" s="16"/>
    </row>
    <row r="85" spans="1:1" ht="12" customHeight="1" x14ac:dyDescent="0.2">
      <c r="A85" s="16"/>
    </row>
    <row r="86" spans="1:1" ht="12" customHeight="1" x14ac:dyDescent="0.2">
      <c r="A86" s="16"/>
    </row>
    <row r="87" spans="1:1" ht="12" customHeight="1" x14ac:dyDescent="0.2">
      <c r="A87" s="16"/>
    </row>
    <row r="88" spans="1:1" ht="12" customHeight="1" x14ac:dyDescent="0.2">
      <c r="A88" s="16"/>
    </row>
    <row r="89" spans="1:1" ht="12" customHeight="1" x14ac:dyDescent="0.2">
      <c r="A89" s="16"/>
    </row>
    <row r="90" spans="1:1" ht="12" customHeight="1" x14ac:dyDescent="0.2">
      <c r="A90" s="16"/>
    </row>
    <row r="91" spans="1:1" ht="12" customHeight="1" x14ac:dyDescent="0.2">
      <c r="A91" s="16"/>
    </row>
    <row r="92" spans="1:1" ht="12" customHeight="1" x14ac:dyDescent="0.2">
      <c r="A92" s="16"/>
    </row>
    <row r="93" spans="1:1" ht="12" customHeight="1" x14ac:dyDescent="0.2">
      <c r="A93" s="16"/>
    </row>
    <row r="94" spans="1:1" ht="12" customHeight="1" x14ac:dyDescent="0.2">
      <c r="A94" s="16"/>
    </row>
    <row r="95" spans="1:1" ht="12" customHeight="1" x14ac:dyDescent="0.2">
      <c r="A95" s="16"/>
    </row>
    <row r="96" spans="1:1" ht="12" customHeight="1" x14ac:dyDescent="0.2">
      <c r="A96" s="16"/>
    </row>
    <row r="97" spans="1:1" ht="12" customHeight="1" x14ac:dyDescent="0.2">
      <c r="A97" s="16"/>
    </row>
    <row r="98" spans="1:1" ht="12" customHeight="1" x14ac:dyDescent="0.2">
      <c r="A98" s="16"/>
    </row>
    <row r="99" spans="1:1" ht="12" customHeight="1" x14ac:dyDescent="0.2">
      <c r="A99" s="16"/>
    </row>
    <row r="100" spans="1:1" ht="12" customHeight="1" x14ac:dyDescent="0.2">
      <c r="A100" s="16"/>
    </row>
    <row r="101" spans="1:1" ht="12" customHeight="1" x14ac:dyDescent="0.2">
      <c r="A101" s="16"/>
    </row>
    <row r="102" spans="1:1" ht="12" customHeight="1" x14ac:dyDescent="0.2">
      <c r="A102" s="16"/>
    </row>
    <row r="103" spans="1:1" ht="12" customHeight="1" x14ac:dyDescent="0.2">
      <c r="A103" s="16"/>
    </row>
    <row r="104" spans="1:1" ht="12" customHeight="1" x14ac:dyDescent="0.2">
      <c r="A104" s="16"/>
    </row>
    <row r="105" spans="1:1" ht="12" customHeight="1" x14ac:dyDescent="0.2">
      <c r="A105" s="16"/>
    </row>
    <row r="106" spans="1:1" ht="12" customHeight="1" x14ac:dyDescent="0.2">
      <c r="A106" s="16"/>
    </row>
    <row r="107" spans="1:1" ht="12" customHeight="1" x14ac:dyDescent="0.2">
      <c r="A107" s="16"/>
    </row>
    <row r="108" spans="1:1" ht="12" customHeight="1" x14ac:dyDescent="0.2">
      <c r="A108" s="16"/>
    </row>
    <row r="109" spans="1:1" ht="12" customHeight="1" x14ac:dyDescent="0.2">
      <c r="A109" s="16"/>
    </row>
    <row r="110" spans="1:1" ht="12" customHeight="1" x14ac:dyDescent="0.2">
      <c r="A110" s="16"/>
    </row>
    <row r="111" spans="1:1" ht="12" customHeight="1" x14ac:dyDescent="0.2">
      <c r="A111" s="16"/>
    </row>
    <row r="112" spans="1:1" ht="12" customHeight="1" x14ac:dyDescent="0.2">
      <c r="A112" s="16"/>
    </row>
    <row r="113" spans="1:1" ht="12" customHeight="1" x14ac:dyDescent="0.2">
      <c r="A113" s="16"/>
    </row>
    <row r="114" spans="1:1" ht="12" customHeight="1" x14ac:dyDescent="0.2">
      <c r="A114" s="16"/>
    </row>
    <row r="115" spans="1:1" ht="12" customHeight="1" x14ac:dyDescent="0.2">
      <c r="A115" s="16"/>
    </row>
    <row r="116" spans="1:1" ht="12" customHeight="1" x14ac:dyDescent="0.2">
      <c r="A116" s="16"/>
    </row>
    <row r="117" spans="1:1" ht="12" customHeight="1" x14ac:dyDescent="0.2">
      <c r="A117" s="16"/>
    </row>
    <row r="118" spans="1:1" ht="12" customHeight="1" x14ac:dyDescent="0.2">
      <c r="A118" s="16"/>
    </row>
    <row r="119" spans="1:1" ht="12" customHeight="1" x14ac:dyDescent="0.2">
      <c r="A119" s="16"/>
    </row>
    <row r="120" spans="1:1" ht="12" customHeight="1" x14ac:dyDescent="0.2">
      <c r="A120" s="16"/>
    </row>
    <row r="121" spans="1:1" ht="12" customHeight="1" x14ac:dyDescent="0.2">
      <c r="A121" s="16"/>
    </row>
    <row r="122" spans="1:1" ht="12" customHeight="1" x14ac:dyDescent="0.2">
      <c r="A122" s="16"/>
    </row>
    <row r="123" spans="1:1" ht="12" customHeight="1" x14ac:dyDescent="0.2">
      <c r="A123" s="16"/>
    </row>
    <row r="124" spans="1:1" ht="12" customHeight="1" x14ac:dyDescent="0.2">
      <c r="A124" s="16"/>
    </row>
    <row r="125" spans="1:1" ht="12" customHeight="1" x14ac:dyDescent="0.2">
      <c r="A125" s="16"/>
    </row>
    <row r="126" spans="1:1" ht="12" customHeight="1" x14ac:dyDescent="0.2">
      <c r="A126" s="16"/>
    </row>
    <row r="127" spans="1:1" ht="12" customHeight="1" x14ac:dyDescent="0.2">
      <c r="A127" s="16"/>
    </row>
    <row r="128" spans="1:1" ht="12" customHeight="1" x14ac:dyDescent="0.2">
      <c r="A128" s="16"/>
    </row>
    <row r="129" spans="1:1" ht="12" customHeight="1" x14ac:dyDescent="0.2">
      <c r="A129" s="16"/>
    </row>
    <row r="130" spans="1:1" ht="12" customHeight="1" x14ac:dyDescent="0.2">
      <c r="A130" s="16"/>
    </row>
    <row r="131" spans="1:1" ht="12" customHeight="1" x14ac:dyDescent="0.2">
      <c r="A131" s="16"/>
    </row>
    <row r="132" spans="1:1" ht="12" customHeight="1" x14ac:dyDescent="0.2">
      <c r="A132" s="16"/>
    </row>
    <row r="133" spans="1:1" ht="12" customHeight="1" x14ac:dyDescent="0.2">
      <c r="A133" s="16"/>
    </row>
    <row r="134" spans="1:1" ht="12" customHeight="1" x14ac:dyDescent="0.2">
      <c r="A134" s="16"/>
    </row>
    <row r="135" spans="1:1" ht="12" customHeight="1" x14ac:dyDescent="0.2">
      <c r="A135" s="16"/>
    </row>
    <row r="136" spans="1:1" ht="12" customHeight="1" x14ac:dyDescent="0.2">
      <c r="A136" s="16"/>
    </row>
    <row r="137" spans="1:1" ht="12" customHeight="1" x14ac:dyDescent="0.2">
      <c r="A137" s="16"/>
    </row>
    <row r="138" spans="1:1" ht="12" customHeight="1" x14ac:dyDescent="0.2">
      <c r="A138" s="16"/>
    </row>
    <row r="139" spans="1:1" ht="12" customHeight="1" x14ac:dyDescent="0.2">
      <c r="A139" s="16"/>
    </row>
    <row r="140" spans="1:1" ht="12" customHeight="1" x14ac:dyDescent="0.2">
      <c r="A140" s="16"/>
    </row>
    <row r="141" spans="1:1" ht="12" customHeight="1" x14ac:dyDescent="0.2">
      <c r="A141" s="16"/>
    </row>
    <row r="142" spans="1:1" ht="12" customHeight="1" x14ac:dyDescent="0.2">
      <c r="A142" s="16"/>
    </row>
    <row r="143" spans="1:1" ht="12" customHeight="1" x14ac:dyDescent="0.2">
      <c r="A143" s="16"/>
    </row>
    <row r="144" spans="1:1" ht="12" customHeight="1" x14ac:dyDescent="0.2">
      <c r="A144" s="16"/>
    </row>
    <row r="145" spans="1:1" ht="12" customHeight="1" x14ac:dyDescent="0.2">
      <c r="A145" s="16"/>
    </row>
    <row r="146" spans="1:1" ht="12" customHeight="1" x14ac:dyDescent="0.2">
      <c r="A146" s="16"/>
    </row>
    <row r="147" spans="1:1" ht="12" customHeight="1" x14ac:dyDescent="0.2">
      <c r="A147" s="16"/>
    </row>
    <row r="148" spans="1:1" ht="12" customHeight="1" x14ac:dyDescent="0.2">
      <c r="A148" s="16"/>
    </row>
    <row r="149" spans="1:1" ht="12" customHeight="1" x14ac:dyDescent="0.2">
      <c r="A149" s="16"/>
    </row>
    <row r="150" spans="1:1" ht="12" customHeight="1" x14ac:dyDescent="0.2">
      <c r="A150" s="16"/>
    </row>
    <row r="151" spans="1:1" ht="12" customHeight="1" x14ac:dyDescent="0.2">
      <c r="A151" s="16"/>
    </row>
    <row r="152" spans="1:1" ht="12" customHeight="1" x14ac:dyDescent="0.2">
      <c r="A152" s="16"/>
    </row>
    <row r="153" spans="1:1" ht="12" customHeight="1" x14ac:dyDescent="0.2">
      <c r="A153" s="16"/>
    </row>
    <row r="154" spans="1:1" ht="12" customHeight="1" x14ac:dyDescent="0.2">
      <c r="A154" s="16"/>
    </row>
    <row r="155" spans="1:1" ht="12" customHeight="1" x14ac:dyDescent="0.2">
      <c r="A155" s="16"/>
    </row>
    <row r="156" spans="1:1" ht="12" customHeight="1" x14ac:dyDescent="0.2">
      <c r="A156" s="16"/>
    </row>
    <row r="157" spans="1:1" ht="12" customHeight="1" x14ac:dyDescent="0.2">
      <c r="A157" s="16"/>
    </row>
    <row r="158" spans="1:1" ht="12" customHeight="1" x14ac:dyDescent="0.2">
      <c r="A158" s="16"/>
    </row>
    <row r="159" spans="1:1" ht="12" customHeight="1" x14ac:dyDescent="0.2">
      <c r="A159" s="16"/>
    </row>
    <row r="160" spans="1:1" ht="12" customHeight="1" x14ac:dyDescent="0.2">
      <c r="A160" s="16"/>
    </row>
    <row r="161" spans="1:1" ht="12" customHeight="1" x14ac:dyDescent="0.2">
      <c r="A161" s="16"/>
    </row>
    <row r="162" spans="1:1" ht="12" customHeight="1" x14ac:dyDescent="0.2">
      <c r="A162" s="16"/>
    </row>
    <row r="163" spans="1:1" ht="12" customHeight="1" x14ac:dyDescent="0.2">
      <c r="A163" s="16"/>
    </row>
    <row r="164" spans="1:1" ht="12" customHeight="1" x14ac:dyDescent="0.2">
      <c r="A164" s="16"/>
    </row>
    <row r="165" spans="1:1" ht="12" customHeight="1" x14ac:dyDescent="0.2">
      <c r="A165" s="16"/>
    </row>
    <row r="166" spans="1:1" ht="12" customHeight="1" x14ac:dyDescent="0.2">
      <c r="A166" s="16"/>
    </row>
    <row r="167" spans="1:1" ht="12" customHeight="1" x14ac:dyDescent="0.2">
      <c r="A167" s="16"/>
    </row>
    <row r="168" spans="1:1" ht="12" customHeight="1" x14ac:dyDescent="0.2">
      <c r="A168" s="16"/>
    </row>
    <row r="169" spans="1:1" ht="12" customHeight="1" x14ac:dyDescent="0.2">
      <c r="A169" s="16"/>
    </row>
    <row r="170" spans="1:1" ht="12" customHeight="1" x14ac:dyDescent="0.2">
      <c r="A170" s="16"/>
    </row>
    <row r="171" spans="1:1" ht="12" customHeight="1" x14ac:dyDescent="0.2">
      <c r="A171" s="16"/>
    </row>
    <row r="172" spans="1:1" ht="12" customHeight="1" x14ac:dyDescent="0.2">
      <c r="A172" s="16"/>
    </row>
    <row r="173" spans="1:1" ht="12" customHeight="1" x14ac:dyDescent="0.2">
      <c r="A173" s="16"/>
    </row>
    <row r="174" spans="1:1" ht="12" customHeight="1" x14ac:dyDescent="0.2">
      <c r="A174" s="16"/>
    </row>
    <row r="175" spans="1:1" ht="12" customHeight="1" x14ac:dyDescent="0.2">
      <c r="A175" s="16"/>
    </row>
    <row r="176" spans="1:1" ht="12" customHeight="1" x14ac:dyDescent="0.2">
      <c r="A176" s="16"/>
    </row>
    <row r="177" spans="1:1" ht="12" customHeight="1" x14ac:dyDescent="0.2">
      <c r="A177" s="16"/>
    </row>
    <row r="178" spans="1:1" ht="12" customHeight="1" x14ac:dyDescent="0.2">
      <c r="A178" s="16"/>
    </row>
    <row r="179" spans="1:1" ht="12" customHeight="1" x14ac:dyDescent="0.2">
      <c r="A179" s="16"/>
    </row>
    <row r="180" spans="1:1" ht="12" customHeight="1" x14ac:dyDescent="0.2">
      <c r="A180" s="16"/>
    </row>
    <row r="181" spans="1:1" ht="12" customHeight="1" x14ac:dyDescent="0.2">
      <c r="A181" s="16"/>
    </row>
    <row r="182" spans="1:1" ht="12" customHeight="1" x14ac:dyDescent="0.2">
      <c r="A182" s="16"/>
    </row>
    <row r="183" spans="1:1" ht="12" customHeight="1" x14ac:dyDescent="0.2">
      <c r="A183" s="16"/>
    </row>
    <row r="184" spans="1:1" ht="12" customHeight="1" x14ac:dyDescent="0.2">
      <c r="A184" s="16"/>
    </row>
    <row r="185" spans="1:1" ht="12" customHeight="1" x14ac:dyDescent="0.2">
      <c r="A185" s="16"/>
    </row>
    <row r="186" spans="1:1" ht="12" customHeight="1" x14ac:dyDescent="0.2">
      <c r="A186" s="16"/>
    </row>
    <row r="187" spans="1:1" ht="12" customHeight="1" x14ac:dyDescent="0.2">
      <c r="A187" s="16"/>
    </row>
    <row r="188" spans="1:1" ht="12" customHeight="1" x14ac:dyDescent="0.2">
      <c r="A188" s="16"/>
    </row>
    <row r="189" spans="1:1" ht="12" customHeight="1" x14ac:dyDescent="0.2">
      <c r="A189" s="16"/>
    </row>
    <row r="190" spans="1:1" ht="12" customHeight="1" x14ac:dyDescent="0.2">
      <c r="A190" s="16"/>
    </row>
    <row r="191" spans="1:1" ht="12" customHeight="1" x14ac:dyDescent="0.2">
      <c r="A191" s="16"/>
    </row>
    <row r="192" spans="1:1" ht="12" customHeight="1" x14ac:dyDescent="0.2">
      <c r="A192" s="16"/>
    </row>
    <row r="193" spans="1:1" ht="12" customHeight="1" x14ac:dyDescent="0.2">
      <c r="A193" s="16"/>
    </row>
    <row r="194" spans="1:1" ht="12" customHeight="1" x14ac:dyDescent="0.2">
      <c r="A194" s="16"/>
    </row>
    <row r="195" spans="1:1" ht="12" customHeight="1" x14ac:dyDescent="0.2">
      <c r="A195" s="16"/>
    </row>
    <row r="196" spans="1:1" ht="12" customHeight="1" x14ac:dyDescent="0.2">
      <c r="A196" s="16"/>
    </row>
    <row r="197" spans="1:1" ht="12" customHeight="1" x14ac:dyDescent="0.2">
      <c r="A197" s="16"/>
    </row>
    <row r="198" spans="1:1" ht="12" customHeight="1" x14ac:dyDescent="0.2">
      <c r="A198" s="16"/>
    </row>
    <row r="199" spans="1:1" ht="12" customHeight="1" x14ac:dyDescent="0.2">
      <c r="A199" s="16"/>
    </row>
    <row r="200" spans="1:1" ht="12" customHeight="1" x14ac:dyDescent="0.2">
      <c r="A200" s="16"/>
    </row>
    <row r="201" spans="1:1" ht="12" customHeight="1" x14ac:dyDescent="0.2">
      <c r="A201" s="16"/>
    </row>
    <row r="202" spans="1:1" ht="12" customHeight="1" x14ac:dyDescent="0.2">
      <c r="A202" s="16"/>
    </row>
    <row r="203" spans="1:1" ht="12" customHeight="1" x14ac:dyDescent="0.2">
      <c r="A203" s="16"/>
    </row>
    <row r="204" spans="1:1" ht="12" customHeight="1" x14ac:dyDescent="0.2">
      <c r="A204" s="16"/>
    </row>
    <row r="205" spans="1:1" ht="12" customHeight="1" x14ac:dyDescent="0.2">
      <c r="A205" s="16"/>
    </row>
    <row r="206" spans="1:1" ht="12" customHeight="1" x14ac:dyDescent="0.2">
      <c r="A206" s="16"/>
    </row>
    <row r="207" spans="1:1" ht="12" customHeight="1" x14ac:dyDescent="0.2">
      <c r="A207" s="16"/>
    </row>
    <row r="208" spans="1:1" ht="12" customHeight="1" x14ac:dyDescent="0.2">
      <c r="A208" s="16"/>
    </row>
    <row r="209" spans="1:1" ht="12" customHeight="1" x14ac:dyDescent="0.2">
      <c r="A209" s="16"/>
    </row>
    <row r="210" spans="1:1" ht="12" customHeight="1" x14ac:dyDescent="0.2">
      <c r="A210" s="16"/>
    </row>
    <row r="211" spans="1:1" ht="12" customHeight="1" x14ac:dyDescent="0.2">
      <c r="A211" s="16"/>
    </row>
    <row r="212" spans="1:1" ht="12" customHeight="1" x14ac:dyDescent="0.2">
      <c r="A212" s="16"/>
    </row>
    <row r="213" spans="1:1" ht="12" customHeight="1" x14ac:dyDescent="0.2">
      <c r="A213" s="16"/>
    </row>
    <row r="214" spans="1:1" ht="12" customHeight="1" x14ac:dyDescent="0.2">
      <c r="A214" s="16"/>
    </row>
    <row r="215" spans="1:1" ht="12" customHeight="1" x14ac:dyDescent="0.2">
      <c r="A215" s="16"/>
    </row>
    <row r="216" spans="1:1" ht="12" customHeight="1" x14ac:dyDescent="0.2">
      <c r="A216" s="16"/>
    </row>
    <row r="217" spans="1:1" ht="12" customHeight="1" x14ac:dyDescent="0.2">
      <c r="A217" s="16"/>
    </row>
    <row r="218" spans="1:1" ht="12" customHeight="1" x14ac:dyDescent="0.2">
      <c r="A218" s="16"/>
    </row>
    <row r="219" spans="1:1" ht="12" customHeight="1" x14ac:dyDescent="0.2">
      <c r="A219" s="16"/>
    </row>
    <row r="220" spans="1:1" ht="12" customHeight="1" x14ac:dyDescent="0.2">
      <c r="A220" s="16"/>
    </row>
    <row r="221" spans="1:1" ht="12" customHeight="1" x14ac:dyDescent="0.2">
      <c r="A221" s="16"/>
    </row>
    <row r="222" spans="1:1" ht="12" customHeight="1" x14ac:dyDescent="0.2">
      <c r="A222" s="16"/>
    </row>
    <row r="223" spans="1:1" ht="12" customHeight="1" x14ac:dyDescent="0.2">
      <c r="A223" s="16"/>
    </row>
    <row r="224" spans="1:1" ht="12" customHeight="1" x14ac:dyDescent="0.2">
      <c r="A224" s="16"/>
    </row>
    <row r="225" spans="1:1" ht="12" customHeight="1" x14ac:dyDescent="0.2">
      <c r="A225" s="16"/>
    </row>
    <row r="226" spans="1:1" ht="12" customHeight="1" x14ac:dyDescent="0.2">
      <c r="A226" s="16"/>
    </row>
    <row r="227" spans="1:1" ht="12" customHeight="1" x14ac:dyDescent="0.2">
      <c r="A227" s="16"/>
    </row>
    <row r="228" spans="1:1" ht="12" customHeight="1" x14ac:dyDescent="0.2">
      <c r="A228" s="16"/>
    </row>
    <row r="229" spans="1:1" ht="12" customHeight="1" x14ac:dyDescent="0.2">
      <c r="A229" s="16"/>
    </row>
    <row r="230" spans="1:1" ht="12" customHeight="1" x14ac:dyDescent="0.2">
      <c r="A230" s="16"/>
    </row>
    <row r="231" spans="1:1" ht="12" customHeight="1" x14ac:dyDescent="0.2">
      <c r="A231" s="16"/>
    </row>
    <row r="232" spans="1:1" ht="12" customHeight="1" x14ac:dyDescent="0.2">
      <c r="A232" s="16"/>
    </row>
    <row r="233" spans="1:1" ht="12" customHeight="1" x14ac:dyDescent="0.2">
      <c r="A233" s="16"/>
    </row>
    <row r="234" spans="1:1" ht="12" customHeight="1" x14ac:dyDescent="0.2">
      <c r="A234" s="16"/>
    </row>
    <row r="235" spans="1:1" ht="12" customHeight="1" x14ac:dyDescent="0.2">
      <c r="A235" s="16"/>
    </row>
    <row r="236" spans="1:1" ht="12" customHeight="1" x14ac:dyDescent="0.2">
      <c r="A236" s="16"/>
    </row>
    <row r="237" spans="1:1" ht="12" customHeight="1" x14ac:dyDescent="0.2">
      <c r="A237" s="16"/>
    </row>
    <row r="238" spans="1:1" ht="12" customHeight="1" x14ac:dyDescent="0.2">
      <c r="A238" s="16"/>
    </row>
    <row r="239" spans="1:1" ht="12" customHeight="1" x14ac:dyDescent="0.2">
      <c r="A239" s="16"/>
    </row>
    <row r="240" spans="1:1" ht="12" customHeight="1" x14ac:dyDescent="0.2">
      <c r="A240" s="16"/>
    </row>
    <row r="241" spans="1:1" ht="12" customHeight="1" x14ac:dyDescent="0.2">
      <c r="A241" s="16"/>
    </row>
    <row r="242" spans="1:1" ht="12" customHeight="1" x14ac:dyDescent="0.2">
      <c r="A242" s="16"/>
    </row>
    <row r="243" spans="1:1" ht="12" customHeight="1" x14ac:dyDescent="0.2">
      <c r="A243" s="16"/>
    </row>
    <row r="244" spans="1:1" ht="12" customHeight="1" x14ac:dyDescent="0.2">
      <c r="A244" s="16"/>
    </row>
    <row r="245" spans="1:1" ht="12" customHeight="1" x14ac:dyDescent="0.2">
      <c r="A245" s="16"/>
    </row>
    <row r="246" spans="1:1" ht="12" customHeight="1" x14ac:dyDescent="0.2">
      <c r="A246" s="16"/>
    </row>
    <row r="247" spans="1:1" ht="12" customHeight="1" x14ac:dyDescent="0.2">
      <c r="A247" s="16"/>
    </row>
    <row r="248" spans="1:1" ht="12" customHeight="1" x14ac:dyDescent="0.2">
      <c r="A248" s="16"/>
    </row>
    <row r="249" spans="1:1" ht="12" customHeight="1" x14ac:dyDescent="0.2">
      <c r="A249" s="16"/>
    </row>
    <row r="250" spans="1:1" ht="12" customHeight="1" x14ac:dyDescent="0.2">
      <c r="A250" s="16"/>
    </row>
    <row r="251" spans="1:1" ht="12" customHeight="1" x14ac:dyDescent="0.2">
      <c r="A251" s="16"/>
    </row>
    <row r="252" spans="1:1" ht="12" customHeight="1" x14ac:dyDescent="0.2">
      <c r="A252" s="16"/>
    </row>
    <row r="253" spans="1:1" ht="12" customHeight="1" x14ac:dyDescent="0.2">
      <c r="A253" s="16"/>
    </row>
    <row r="254" spans="1:1" ht="12" customHeight="1" x14ac:dyDescent="0.2">
      <c r="A254" s="16"/>
    </row>
    <row r="255" spans="1:1" ht="12" customHeight="1" x14ac:dyDescent="0.2">
      <c r="A255" s="16"/>
    </row>
    <row r="256" spans="1:1" ht="12" customHeight="1" x14ac:dyDescent="0.2">
      <c r="A256" s="16"/>
    </row>
    <row r="257" spans="1:1" ht="12" customHeight="1" x14ac:dyDescent="0.2">
      <c r="A257" s="16"/>
    </row>
    <row r="258" spans="1:1" ht="12" customHeight="1" x14ac:dyDescent="0.2">
      <c r="A258" s="16"/>
    </row>
    <row r="259" spans="1:1" ht="12" customHeight="1" x14ac:dyDescent="0.2">
      <c r="A259" s="16"/>
    </row>
    <row r="260" spans="1:1" ht="12" customHeight="1" x14ac:dyDescent="0.2">
      <c r="A260" s="16"/>
    </row>
    <row r="261" spans="1:1" ht="12" customHeight="1" x14ac:dyDescent="0.2">
      <c r="A261" s="16"/>
    </row>
    <row r="262" spans="1:1" ht="12" customHeight="1" x14ac:dyDescent="0.2">
      <c r="A262" s="16"/>
    </row>
    <row r="263" spans="1:1" ht="12" customHeight="1" x14ac:dyDescent="0.2">
      <c r="A263" s="16"/>
    </row>
    <row r="264" spans="1:1" ht="12" customHeight="1" x14ac:dyDescent="0.2">
      <c r="A264" s="16"/>
    </row>
    <row r="265" spans="1:1" ht="12" customHeight="1" x14ac:dyDescent="0.2">
      <c r="A265" s="16"/>
    </row>
    <row r="266" spans="1:1" ht="12" customHeight="1" x14ac:dyDescent="0.2">
      <c r="A266" s="16"/>
    </row>
    <row r="267" spans="1:1" ht="12" customHeight="1" x14ac:dyDescent="0.2">
      <c r="A267" s="16"/>
    </row>
    <row r="268" spans="1:1" ht="12" customHeight="1" x14ac:dyDescent="0.2">
      <c r="A268" s="16"/>
    </row>
    <row r="269" spans="1:1" ht="12" customHeight="1" x14ac:dyDescent="0.2">
      <c r="A269" s="16"/>
    </row>
    <row r="270" spans="1:1" ht="12" customHeight="1" x14ac:dyDescent="0.2">
      <c r="A270" s="16"/>
    </row>
    <row r="271" spans="1:1" ht="12" customHeight="1" x14ac:dyDescent="0.2">
      <c r="A271" s="16"/>
    </row>
    <row r="272" spans="1:1" ht="12" customHeight="1" x14ac:dyDescent="0.2">
      <c r="A272" s="16"/>
    </row>
    <row r="273" spans="1:1" ht="12" customHeight="1" x14ac:dyDescent="0.2">
      <c r="A273" s="16"/>
    </row>
    <row r="274" spans="1:1" ht="12" customHeight="1" x14ac:dyDescent="0.2">
      <c r="A274" s="16"/>
    </row>
    <row r="275" spans="1:1" ht="12" customHeight="1" x14ac:dyDescent="0.2">
      <c r="A275" s="16"/>
    </row>
    <row r="276" spans="1:1" ht="12" customHeight="1" x14ac:dyDescent="0.2">
      <c r="A276" s="16"/>
    </row>
    <row r="277" spans="1:1" ht="12" customHeight="1" x14ac:dyDescent="0.2">
      <c r="A277" s="16"/>
    </row>
    <row r="278" spans="1:1" ht="12" customHeight="1" x14ac:dyDescent="0.2">
      <c r="A278" s="16"/>
    </row>
    <row r="279" spans="1:1" ht="12" customHeight="1" x14ac:dyDescent="0.2">
      <c r="A279" s="16"/>
    </row>
    <row r="280" spans="1:1" ht="12" customHeight="1" x14ac:dyDescent="0.2">
      <c r="A280" s="16"/>
    </row>
    <row r="281" spans="1:1" ht="12" customHeight="1" x14ac:dyDescent="0.2">
      <c r="A281" s="16"/>
    </row>
    <row r="282" spans="1:1" ht="12" customHeight="1" x14ac:dyDescent="0.2">
      <c r="A282" s="16"/>
    </row>
    <row r="283" spans="1:1" ht="12" customHeight="1" x14ac:dyDescent="0.2">
      <c r="A283" s="16"/>
    </row>
    <row r="284" spans="1:1" ht="12" customHeight="1" x14ac:dyDescent="0.2">
      <c r="A284" s="16"/>
    </row>
    <row r="285" spans="1:1" ht="12" customHeight="1" x14ac:dyDescent="0.2">
      <c r="A285" s="16"/>
    </row>
    <row r="286" spans="1:1" ht="12" customHeight="1" x14ac:dyDescent="0.2">
      <c r="A286" s="16"/>
    </row>
    <row r="287" spans="1:1" ht="12" customHeight="1" x14ac:dyDescent="0.2">
      <c r="A287" s="16"/>
    </row>
    <row r="288" spans="1:1" ht="12" customHeight="1" x14ac:dyDescent="0.2">
      <c r="A288" s="16"/>
    </row>
    <row r="289" spans="1:1" ht="12" customHeight="1" x14ac:dyDescent="0.2">
      <c r="A289" s="16"/>
    </row>
    <row r="290" spans="1:1" ht="12" customHeight="1" x14ac:dyDescent="0.2">
      <c r="A290" s="16"/>
    </row>
    <row r="291" spans="1:1" ht="12" customHeight="1" x14ac:dyDescent="0.2">
      <c r="A291" s="16"/>
    </row>
    <row r="292" spans="1:1" ht="12" customHeight="1" x14ac:dyDescent="0.2">
      <c r="A292" s="16"/>
    </row>
    <row r="293" spans="1:1" ht="12" customHeight="1" x14ac:dyDescent="0.2">
      <c r="A293" s="16"/>
    </row>
    <row r="294" spans="1:1" ht="12" customHeight="1" x14ac:dyDescent="0.2">
      <c r="A294" s="16"/>
    </row>
    <row r="295" spans="1:1" ht="12" customHeight="1" x14ac:dyDescent="0.2">
      <c r="A295" s="16"/>
    </row>
    <row r="296" spans="1:1" ht="12" customHeight="1" x14ac:dyDescent="0.2">
      <c r="A296" s="16"/>
    </row>
    <row r="297" spans="1:1" ht="12" customHeight="1" x14ac:dyDescent="0.2">
      <c r="A297" s="16"/>
    </row>
    <row r="298" spans="1:1" ht="12" customHeight="1" x14ac:dyDescent="0.2">
      <c r="A298" s="16"/>
    </row>
    <row r="299" spans="1:1" ht="12" customHeight="1" x14ac:dyDescent="0.2">
      <c r="A299" s="16"/>
    </row>
    <row r="300" spans="1:1" ht="12" customHeight="1" x14ac:dyDescent="0.2">
      <c r="A300" s="16"/>
    </row>
    <row r="301" spans="1:1" ht="12" customHeight="1" x14ac:dyDescent="0.2">
      <c r="A301" s="16"/>
    </row>
    <row r="302" spans="1:1" ht="12" customHeight="1" x14ac:dyDescent="0.2">
      <c r="A302" s="16"/>
    </row>
    <row r="303" spans="1:1" ht="12" customHeight="1" x14ac:dyDescent="0.2">
      <c r="A303" s="16"/>
    </row>
    <row r="304" spans="1:1" ht="12" customHeight="1" x14ac:dyDescent="0.2">
      <c r="A304" s="16"/>
    </row>
    <row r="305" spans="1:1" ht="12" customHeight="1" x14ac:dyDescent="0.2">
      <c r="A305" s="16"/>
    </row>
    <row r="306" spans="1:1" ht="12" customHeight="1" x14ac:dyDescent="0.2">
      <c r="A306" s="16"/>
    </row>
    <row r="307" spans="1:1" ht="12" customHeight="1" x14ac:dyDescent="0.2">
      <c r="A307" s="16"/>
    </row>
    <row r="308" spans="1:1" ht="12" customHeight="1" x14ac:dyDescent="0.2">
      <c r="A308" s="16"/>
    </row>
    <row r="309" spans="1:1" ht="12" customHeight="1" x14ac:dyDescent="0.2">
      <c r="A309" s="16"/>
    </row>
    <row r="310" spans="1:1" ht="12" customHeight="1" x14ac:dyDescent="0.2">
      <c r="A310" s="16"/>
    </row>
    <row r="311" spans="1:1" ht="12" customHeight="1" x14ac:dyDescent="0.2">
      <c r="A311" s="16"/>
    </row>
    <row r="312" spans="1:1" ht="12" customHeight="1" x14ac:dyDescent="0.2">
      <c r="A312" s="16"/>
    </row>
    <row r="313" spans="1:1" ht="12" customHeight="1" x14ac:dyDescent="0.2">
      <c r="A313" s="16"/>
    </row>
    <row r="314" spans="1:1" ht="12" customHeight="1" x14ac:dyDescent="0.2">
      <c r="A314" s="16"/>
    </row>
    <row r="315" spans="1:1" ht="12" customHeight="1" x14ac:dyDescent="0.2">
      <c r="A315" s="16"/>
    </row>
    <row r="316" spans="1:1" ht="12" customHeight="1" x14ac:dyDescent="0.2">
      <c r="A316" s="16"/>
    </row>
    <row r="317" spans="1:1" ht="12" customHeight="1" x14ac:dyDescent="0.2">
      <c r="A317" s="16"/>
    </row>
    <row r="318" spans="1:1" ht="12" customHeight="1" x14ac:dyDescent="0.2">
      <c r="A318" s="16"/>
    </row>
    <row r="319" spans="1:1" ht="12" customHeight="1" x14ac:dyDescent="0.2">
      <c r="A319" s="16"/>
    </row>
    <row r="320" spans="1:1" ht="12" customHeight="1" x14ac:dyDescent="0.2">
      <c r="A320" s="16"/>
    </row>
    <row r="321" spans="1:1" ht="12" customHeight="1" x14ac:dyDescent="0.2">
      <c r="A321" s="16"/>
    </row>
    <row r="322" spans="1:1" ht="12" customHeight="1" x14ac:dyDescent="0.2">
      <c r="A322" s="16"/>
    </row>
    <row r="323" spans="1:1" ht="12" customHeight="1" x14ac:dyDescent="0.2">
      <c r="A323" s="16"/>
    </row>
    <row r="324" spans="1:1" ht="12" customHeight="1" x14ac:dyDescent="0.2">
      <c r="A324" s="16"/>
    </row>
    <row r="325" spans="1:1" ht="12" customHeight="1" x14ac:dyDescent="0.2">
      <c r="A325" s="16"/>
    </row>
    <row r="326" spans="1:1" ht="12" customHeight="1" x14ac:dyDescent="0.2">
      <c r="A326" s="16"/>
    </row>
    <row r="327" spans="1:1" ht="12" customHeight="1" x14ac:dyDescent="0.2">
      <c r="A327" s="16"/>
    </row>
    <row r="328" spans="1:1" ht="12" customHeight="1" x14ac:dyDescent="0.2">
      <c r="A328" s="16"/>
    </row>
    <row r="329" spans="1:1" ht="12" customHeight="1" x14ac:dyDescent="0.2">
      <c r="A329" s="16"/>
    </row>
    <row r="330" spans="1:1" ht="12" customHeight="1" x14ac:dyDescent="0.2">
      <c r="A330" s="16"/>
    </row>
    <row r="331" spans="1:1" ht="12" customHeight="1" x14ac:dyDescent="0.2">
      <c r="A331" s="16"/>
    </row>
    <row r="332" spans="1:1" ht="12" customHeight="1" x14ac:dyDescent="0.2">
      <c r="A332" s="16"/>
    </row>
    <row r="333" spans="1:1" ht="12" customHeight="1" x14ac:dyDescent="0.2">
      <c r="A333" s="16"/>
    </row>
    <row r="334" spans="1:1" ht="12" customHeight="1" x14ac:dyDescent="0.2">
      <c r="A334" s="16"/>
    </row>
    <row r="335" spans="1:1" ht="12" customHeight="1" x14ac:dyDescent="0.2">
      <c r="A335" s="16"/>
    </row>
    <row r="336" spans="1:1" ht="12" customHeight="1" x14ac:dyDescent="0.2">
      <c r="A336" s="16"/>
    </row>
    <row r="337" spans="1:1" ht="12" customHeight="1" x14ac:dyDescent="0.2">
      <c r="A337" s="16"/>
    </row>
    <row r="338" spans="1:1" ht="12" customHeight="1" x14ac:dyDescent="0.2">
      <c r="A338" s="16"/>
    </row>
    <row r="339" spans="1:1" ht="12" customHeight="1" x14ac:dyDescent="0.2">
      <c r="A339" s="16"/>
    </row>
    <row r="340" spans="1:1" ht="12" customHeight="1" x14ac:dyDescent="0.2">
      <c r="A340" s="16"/>
    </row>
    <row r="341" spans="1:1" ht="12" customHeight="1" x14ac:dyDescent="0.2">
      <c r="A341" s="16"/>
    </row>
    <row r="342" spans="1:1" ht="12" customHeight="1" x14ac:dyDescent="0.2">
      <c r="A342" s="16"/>
    </row>
    <row r="343" spans="1:1" ht="12" customHeight="1" x14ac:dyDescent="0.2">
      <c r="A343" s="16"/>
    </row>
    <row r="344" spans="1:1" ht="12" customHeight="1" x14ac:dyDescent="0.2">
      <c r="A344" s="16"/>
    </row>
    <row r="345" spans="1:1" ht="12" customHeight="1" x14ac:dyDescent="0.2">
      <c r="A345" s="16"/>
    </row>
    <row r="346" spans="1:1" ht="12" customHeight="1" x14ac:dyDescent="0.2">
      <c r="A346" s="16"/>
    </row>
    <row r="347" spans="1:1" ht="12" customHeight="1" x14ac:dyDescent="0.2">
      <c r="A347" s="16"/>
    </row>
    <row r="348" spans="1:1" ht="12" customHeight="1" x14ac:dyDescent="0.2">
      <c r="A348" s="16"/>
    </row>
    <row r="349" spans="1:1" ht="12" customHeight="1" x14ac:dyDescent="0.2">
      <c r="A349" s="16"/>
    </row>
    <row r="350" spans="1:1" ht="12" customHeight="1" x14ac:dyDescent="0.2">
      <c r="A350" s="16"/>
    </row>
    <row r="351" spans="1:1" ht="12" customHeight="1" x14ac:dyDescent="0.2">
      <c r="A351" s="16"/>
    </row>
    <row r="352" spans="1:1" ht="12" customHeight="1" x14ac:dyDescent="0.2">
      <c r="A352" s="16"/>
    </row>
    <row r="353" spans="1:1" ht="12" customHeight="1" x14ac:dyDescent="0.2">
      <c r="A353" s="16"/>
    </row>
    <row r="354" spans="1:1" ht="12" customHeight="1" x14ac:dyDescent="0.2">
      <c r="A354" s="16"/>
    </row>
    <row r="355" spans="1:1" ht="12" customHeight="1" x14ac:dyDescent="0.2">
      <c r="A355" s="16"/>
    </row>
    <row r="356" spans="1:1" ht="12" customHeight="1" x14ac:dyDescent="0.2">
      <c r="A356" s="16"/>
    </row>
    <row r="357" spans="1:1" ht="12" customHeight="1" x14ac:dyDescent="0.2">
      <c r="A357" s="16"/>
    </row>
    <row r="358" spans="1:1" ht="12" customHeight="1" x14ac:dyDescent="0.2">
      <c r="A358" s="16"/>
    </row>
    <row r="359" spans="1:1" ht="12" customHeight="1" x14ac:dyDescent="0.2">
      <c r="A359" s="16"/>
    </row>
    <row r="360" spans="1:1" ht="12" customHeight="1" x14ac:dyDescent="0.2">
      <c r="A360" s="16"/>
    </row>
    <row r="361" spans="1:1" ht="12" customHeight="1" x14ac:dyDescent="0.2">
      <c r="A361" s="16"/>
    </row>
    <row r="362" spans="1:1" ht="12" customHeight="1" x14ac:dyDescent="0.2">
      <c r="A362" s="16"/>
    </row>
    <row r="363" spans="1:1" ht="12" customHeight="1" x14ac:dyDescent="0.2">
      <c r="A363" s="16"/>
    </row>
    <row r="364" spans="1:1" ht="12" customHeight="1" x14ac:dyDescent="0.2">
      <c r="A364" s="16"/>
    </row>
    <row r="365" spans="1:1" ht="12" customHeight="1" x14ac:dyDescent="0.2">
      <c r="A365" s="16"/>
    </row>
    <row r="366" spans="1:1" ht="12" customHeight="1" x14ac:dyDescent="0.2">
      <c r="A366" s="16"/>
    </row>
    <row r="367" spans="1:1" ht="12" customHeight="1" x14ac:dyDescent="0.2">
      <c r="A367" s="16"/>
    </row>
    <row r="368" spans="1:1" ht="12" customHeight="1" x14ac:dyDescent="0.2">
      <c r="A368" s="16"/>
    </row>
    <row r="369" spans="1:1" ht="12" customHeight="1" x14ac:dyDescent="0.2">
      <c r="A369" s="16"/>
    </row>
    <row r="370" spans="1:1" ht="12" customHeight="1" x14ac:dyDescent="0.2">
      <c r="A370" s="16"/>
    </row>
    <row r="371" spans="1:1" ht="12" customHeight="1" x14ac:dyDescent="0.2">
      <c r="A371" s="16"/>
    </row>
    <row r="372" spans="1:1" ht="12" customHeight="1" x14ac:dyDescent="0.2">
      <c r="A372" s="16"/>
    </row>
    <row r="373" spans="1:1" ht="12" customHeight="1" x14ac:dyDescent="0.2">
      <c r="A373" s="16"/>
    </row>
    <row r="374" spans="1:1" ht="12" customHeight="1" x14ac:dyDescent="0.2">
      <c r="A374" s="16"/>
    </row>
    <row r="375" spans="1:1" ht="12" customHeight="1" x14ac:dyDescent="0.2">
      <c r="A375" s="16"/>
    </row>
    <row r="376" spans="1:1" ht="12" customHeight="1" x14ac:dyDescent="0.2">
      <c r="A376" s="16"/>
    </row>
    <row r="377" spans="1:1" ht="12" customHeight="1" x14ac:dyDescent="0.2">
      <c r="A377" s="16"/>
    </row>
    <row r="378" spans="1:1" ht="12" customHeight="1" x14ac:dyDescent="0.2">
      <c r="A378" s="16"/>
    </row>
    <row r="379" spans="1:1" ht="12" customHeight="1" x14ac:dyDescent="0.2">
      <c r="A379" s="16"/>
    </row>
    <row r="380" spans="1:1" ht="12" customHeight="1" x14ac:dyDescent="0.2">
      <c r="A380" s="16"/>
    </row>
    <row r="381" spans="1:1" ht="12" customHeight="1" x14ac:dyDescent="0.2">
      <c r="A381" s="16"/>
    </row>
    <row r="382" spans="1:1" ht="12" customHeight="1" x14ac:dyDescent="0.2">
      <c r="A382" s="16"/>
    </row>
    <row r="383" spans="1:1" ht="12" customHeight="1" x14ac:dyDescent="0.2">
      <c r="A383" s="16"/>
    </row>
    <row r="384" spans="1:1" ht="12" customHeight="1" x14ac:dyDescent="0.2">
      <c r="A384" s="16"/>
    </row>
    <row r="385" spans="1:1" ht="12" customHeight="1" x14ac:dyDescent="0.2">
      <c r="A385" s="16"/>
    </row>
    <row r="386" spans="1:1" ht="12" customHeight="1" x14ac:dyDescent="0.2">
      <c r="A386" s="16"/>
    </row>
    <row r="387" spans="1:1" ht="12" customHeight="1" x14ac:dyDescent="0.2">
      <c r="A387" s="16"/>
    </row>
    <row r="388" spans="1:1" ht="12" customHeight="1" x14ac:dyDescent="0.2">
      <c r="A388" s="16"/>
    </row>
    <row r="389" spans="1:1" ht="12" customHeight="1" x14ac:dyDescent="0.2">
      <c r="A389" s="16"/>
    </row>
    <row r="390" spans="1:1" ht="12" customHeight="1" x14ac:dyDescent="0.2">
      <c r="A390" s="16"/>
    </row>
    <row r="391" spans="1:1" ht="12" customHeight="1" x14ac:dyDescent="0.2">
      <c r="A391" s="16"/>
    </row>
    <row r="392" spans="1:1" ht="12" customHeight="1" x14ac:dyDescent="0.2">
      <c r="A392" s="16"/>
    </row>
    <row r="393" spans="1:1" ht="12" customHeight="1" x14ac:dyDescent="0.2">
      <c r="A393" s="16"/>
    </row>
    <row r="394" spans="1:1" ht="12" customHeight="1" x14ac:dyDescent="0.2">
      <c r="A394" s="16"/>
    </row>
    <row r="395" spans="1:1" ht="12" customHeight="1" x14ac:dyDescent="0.2">
      <c r="A395" s="16"/>
    </row>
    <row r="396" spans="1:1" ht="12" customHeight="1" x14ac:dyDescent="0.2">
      <c r="A396" s="16"/>
    </row>
    <row r="397" spans="1:1" ht="12" customHeight="1" x14ac:dyDescent="0.2">
      <c r="A397" s="16"/>
    </row>
    <row r="398" spans="1:1" ht="12" customHeight="1" x14ac:dyDescent="0.2">
      <c r="A398" s="16"/>
    </row>
    <row r="399" spans="1:1" ht="12" customHeight="1" x14ac:dyDescent="0.2">
      <c r="A399" s="16"/>
    </row>
    <row r="400" spans="1:1" ht="12" customHeight="1" x14ac:dyDescent="0.2">
      <c r="A400" s="16"/>
    </row>
    <row r="401" spans="1:1" ht="12" customHeight="1" x14ac:dyDescent="0.2">
      <c r="A401" s="16"/>
    </row>
    <row r="402" spans="1:1" ht="12" customHeight="1" x14ac:dyDescent="0.2">
      <c r="A402" s="16"/>
    </row>
    <row r="403" spans="1:1" ht="12" customHeight="1" x14ac:dyDescent="0.2">
      <c r="A403" s="16"/>
    </row>
    <row r="404" spans="1:1" ht="12" customHeight="1" x14ac:dyDescent="0.2">
      <c r="A404" s="16"/>
    </row>
    <row r="405" spans="1:1" ht="12" customHeight="1" x14ac:dyDescent="0.2">
      <c r="A405" s="16"/>
    </row>
    <row r="406" spans="1:1" ht="12" customHeight="1" x14ac:dyDescent="0.2">
      <c r="A406" s="16"/>
    </row>
    <row r="407" spans="1:1" ht="12" customHeight="1" x14ac:dyDescent="0.2">
      <c r="A407" s="16"/>
    </row>
    <row r="408" spans="1:1" ht="12" customHeight="1" x14ac:dyDescent="0.2">
      <c r="A408" s="16"/>
    </row>
    <row r="409" spans="1:1" ht="12" customHeight="1" x14ac:dyDescent="0.2">
      <c r="A409" s="16"/>
    </row>
    <row r="410" spans="1:1" ht="12" customHeight="1" x14ac:dyDescent="0.2">
      <c r="A410" s="16"/>
    </row>
    <row r="411" spans="1:1" ht="12" customHeight="1" x14ac:dyDescent="0.2">
      <c r="A411" s="16"/>
    </row>
    <row r="412" spans="1:1" ht="12" customHeight="1" x14ac:dyDescent="0.2">
      <c r="A412" s="16"/>
    </row>
    <row r="413" spans="1:1" ht="12" customHeight="1" x14ac:dyDescent="0.2">
      <c r="A413" s="16"/>
    </row>
    <row r="414" spans="1:1" ht="12" customHeight="1" x14ac:dyDescent="0.2">
      <c r="A414" s="16"/>
    </row>
    <row r="415" spans="1:1" ht="12" customHeight="1" x14ac:dyDescent="0.2">
      <c r="A415" s="16"/>
    </row>
    <row r="416" spans="1:1" ht="12" customHeight="1" x14ac:dyDescent="0.2">
      <c r="A416" s="16"/>
    </row>
    <row r="417" spans="1:1" ht="12" customHeight="1" x14ac:dyDescent="0.2">
      <c r="A417" s="16"/>
    </row>
    <row r="418" spans="1:1" ht="12" customHeight="1" x14ac:dyDescent="0.2">
      <c r="A418" s="16"/>
    </row>
    <row r="419" spans="1:1" ht="12" customHeight="1" x14ac:dyDescent="0.2">
      <c r="A419" s="16"/>
    </row>
    <row r="420" spans="1:1" ht="12" customHeight="1" x14ac:dyDescent="0.2">
      <c r="A420" s="16"/>
    </row>
    <row r="421" spans="1:1" ht="12" customHeight="1" x14ac:dyDescent="0.2">
      <c r="A421" s="16"/>
    </row>
    <row r="422" spans="1:1" ht="12" customHeight="1" x14ac:dyDescent="0.2">
      <c r="A422" s="16"/>
    </row>
    <row r="423" spans="1:1" ht="12" customHeight="1" x14ac:dyDescent="0.2">
      <c r="A423" s="16"/>
    </row>
    <row r="424" spans="1:1" ht="12" customHeight="1" x14ac:dyDescent="0.2">
      <c r="A424" s="16"/>
    </row>
    <row r="425" spans="1:1" ht="12" customHeight="1" x14ac:dyDescent="0.2">
      <c r="A425" s="16"/>
    </row>
    <row r="426" spans="1:1" ht="12" customHeight="1" x14ac:dyDescent="0.2">
      <c r="A426" s="16"/>
    </row>
    <row r="427" spans="1:1" ht="12" customHeight="1" x14ac:dyDescent="0.2">
      <c r="A427" s="16"/>
    </row>
    <row r="428" spans="1:1" ht="12" customHeight="1" x14ac:dyDescent="0.2">
      <c r="A428" s="16"/>
    </row>
    <row r="429" spans="1:1" ht="12" customHeight="1" x14ac:dyDescent="0.2">
      <c r="A429" s="16"/>
    </row>
    <row r="430" spans="1:1" ht="12" customHeight="1" x14ac:dyDescent="0.2">
      <c r="A430" s="16"/>
    </row>
    <row r="431" spans="1:1" ht="12" customHeight="1" x14ac:dyDescent="0.2">
      <c r="A431" s="16"/>
    </row>
    <row r="432" spans="1:1" ht="12" customHeight="1" x14ac:dyDescent="0.2">
      <c r="A432" s="16"/>
    </row>
    <row r="433" spans="1:1" ht="12" customHeight="1" x14ac:dyDescent="0.2">
      <c r="A433" s="16"/>
    </row>
    <row r="434" spans="1:1" ht="12" customHeight="1" x14ac:dyDescent="0.2">
      <c r="A434" s="16"/>
    </row>
    <row r="435" spans="1:1" ht="12" customHeight="1" x14ac:dyDescent="0.2">
      <c r="A435" s="16"/>
    </row>
    <row r="436" spans="1:1" ht="12" customHeight="1" x14ac:dyDescent="0.2">
      <c r="A436" s="16"/>
    </row>
    <row r="437" spans="1:1" ht="12" customHeight="1" x14ac:dyDescent="0.2">
      <c r="A437" s="16"/>
    </row>
    <row r="438" spans="1:1" ht="12" customHeight="1" x14ac:dyDescent="0.2">
      <c r="A438" s="16"/>
    </row>
    <row r="439" spans="1:1" ht="12" customHeight="1" x14ac:dyDescent="0.2">
      <c r="A439" s="16"/>
    </row>
    <row r="440" spans="1:1" ht="12" customHeight="1" x14ac:dyDescent="0.2">
      <c r="A440" s="16"/>
    </row>
    <row r="441" spans="1:1" ht="12" customHeight="1" x14ac:dyDescent="0.2">
      <c r="A441" s="16"/>
    </row>
    <row r="442" spans="1:1" ht="12" customHeight="1" x14ac:dyDescent="0.2">
      <c r="A442" s="16"/>
    </row>
    <row r="443" spans="1:1" ht="12" customHeight="1" x14ac:dyDescent="0.2">
      <c r="A443" s="16"/>
    </row>
    <row r="444" spans="1:1" ht="12" customHeight="1" x14ac:dyDescent="0.2">
      <c r="A444" s="16"/>
    </row>
    <row r="445" spans="1:1" ht="12" customHeight="1" x14ac:dyDescent="0.2">
      <c r="A445" s="16"/>
    </row>
    <row r="446" spans="1:1" ht="12" customHeight="1" x14ac:dyDescent="0.2">
      <c r="A446" s="16"/>
    </row>
    <row r="447" spans="1:1" ht="12" customHeight="1" x14ac:dyDescent="0.2">
      <c r="A447" s="16"/>
    </row>
    <row r="448" spans="1:1" ht="12" customHeight="1" x14ac:dyDescent="0.2">
      <c r="A448" s="16"/>
    </row>
    <row r="449" spans="1:1" ht="12" customHeight="1" x14ac:dyDescent="0.2">
      <c r="A449" s="16"/>
    </row>
    <row r="450" spans="1:1" ht="12" customHeight="1" x14ac:dyDescent="0.2">
      <c r="A450" s="16"/>
    </row>
    <row r="451" spans="1:1" ht="12" customHeight="1" x14ac:dyDescent="0.2">
      <c r="A451" s="16"/>
    </row>
    <row r="452" spans="1:1" ht="12" customHeight="1" x14ac:dyDescent="0.2">
      <c r="A452" s="16"/>
    </row>
    <row r="453" spans="1:1" ht="12" customHeight="1" x14ac:dyDescent="0.2">
      <c r="A453" s="16"/>
    </row>
    <row r="454" spans="1:1" ht="12" customHeight="1" x14ac:dyDescent="0.2">
      <c r="A454" s="16"/>
    </row>
    <row r="455" spans="1:1" ht="12" customHeight="1" x14ac:dyDescent="0.2">
      <c r="A455" s="16"/>
    </row>
    <row r="456" spans="1:1" ht="12" customHeight="1" x14ac:dyDescent="0.2">
      <c r="A456" s="16"/>
    </row>
    <row r="457" spans="1:1" ht="12" customHeight="1" x14ac:dyDescent="0.2">
      <c r="A457" s="16"/>
    </row>
    <row r="458" spans="1:1" ht="12" customHeight="1" x14ac:dyDescent="0.2">
      <c r="A458" s="16"/>
    </row>
    <row r="459" spans="1:1" ht="12" customHeight="1" x14ac:dyDescent="0.2">
      <c r="A459" s="16"/>
    </row>
    <row r="460" spans="1:1" ht="12" customHeight="1" x14ac:dyDescent="0.2">
      <c r="A460" s="16"/>
    </row>
    <row r="461" spans="1:1" ht="12" customHeight="1" x14ac:dyDescent="0.2">
      <c r="A461" s="16"/>
    </row>
    <row r="462" spans="1:1" ht="12" customHeight="1" x14ac:dyDescent="0.2">
      <c r="A462" s="16"/>
    </row>
    <row r="463" spans="1:1" ht="12" customHeight="1" x14ac:dyDescent="0.2">
      <c r="A463" s="16"/>
    </row>
    <row r="464" spans="1:1" ht="12" customHeight="1" x14ac:dyDescent="0.2">
      <c r="A464" s="16"/>
    </row>
    <row r="465" spans="1:1" ht="12" customHeight="1" x14ac:dyDescent="0.2">
      <c r="A465" s="16"/>
    </row>
    <row r="466" spans="1:1" ht="12" customHeight="1" x14ac:dyDescent="0.2">
      <c r="A466" s="16"/>
    </row>
    <row r="467" spans="1:1" ht="12" customHeight="1" x14ac:dyDescent="0.2">
      <c r="A467" s="16"/>
    </row>
    <row r="468" spans="1:1" ht="12" customHeight="1" x14ac:dyDescent="0.2">
      <c r="A468" s="16"/>
    </row>
    <row r="469" spans="1:1" ht="12" customHeight="1" x14ac:dyDescent="0.2">
      <c r="A469" s="16"/>
    </row>
    <row r="470" spans="1:1" ht="12" customHeight="1" x14ac:dyDescent="0.2">
      <c r="A470" s="16"/>
    </row>
    <row r="471" spans="1:1" ht="12" customHeight="1" x14ac:dyDescent="0.2">
      <c r="A471" s="16"/>
    </row>
    <row r="472" spans="1:1" ht="12" customHeight="1" x14ac:dyDescent="0.2">
      <c r="A472" s="16"/>
    </row>
    <row r="473" spans="1:1" ht="12" customHeight="1" x14ac:dyDescent="0.2">
      <c r="A473" s="16"/>
    </row>
    <row r="474" spans="1:1" ht="12" customHeight="1" x14ac:dyDescent="0.2">
      <c r="A474" s="16"/>
    </row>
    <row r="475" spans="1:1" ht="12" customHeight="1" x14ac:dyDescent="0.2">
      <c r="A475" s="16"/>
    </row>
    <row r="476" spans="1:1" ht="12" customHeight="1" x14ac:dyDescent="0.2">
      <c r="A476" s="16"/>
    </row>
    <row r="477" spans="1:1" ht="12" customHeight="1" x14ac:dyDescent="0.2">
      <c r="A477" s="16"/>
    </row>
    <row r="478" spans="1:1" ht="12" customHeight="1" x14ac:dyDescent="0.2">
      <c r="A478" s="16"/>
    </row>
    <row r="479" spans="1:1" ht="12" customHeight="1" x14ac:dyDescent="0.2">
      <c r="A479" s="16"/>
    </row>
    <row r="480" spans="1:1" ht="12" customHeight="1" x14ac:dyDescent="0.2">
      <c r="A480" s="16"/>
    </row>
    <row r="481" spans="1:1" ht="12" customHeight="1" x14ac:dyDescent="0.2">
      <c r="A481" s="16"/>
    </row>
    <row r="482" spans="1:1" ht="12" customHeight="1" x14ac:dyDescent="0.2">
      <c r="A482" s="16"/>
    </row>
    <row r="483" spans="1:1" ht="12" customHeight="1" x14ac:dyDescent="0.2">
      <c r="A483" s="16"/>
    </row>
    <row r="484" spans="1:1" ht="12" customHeight="1" x14ac:dyDescent="0.2">
      <c r="A484" s="16"/>
    </row>
    <row r="485" spans="1:1" ht="12" customHeight="1" x14ac:dyDescent="0.2">
      <c r="A485" s="16"/>
    </row>
    <row r="486" spans="1:1" ht="12" customHeight="1" x14ac:dyDescent="0.2">
      <c r="A486" s="16"/>
    </row>
    <row r="487" spans="1:1" ht="12" customHeight="1" x14ac:dyDescent="0.2">
      <c r="A487" s="16"/>
    </row>
    <row r="488" spans="1:1" ht="12" customHeight="1" x14ac:dyDescent="0.2">
      <c r="A488" s="16"/>
    </row>
    <row r="489" spans="1:1" ht="12" customHeight="1" x14ac:dyDescent="0.2">
      <c r="A489" s="16"/>
    </row>
    <row r="490" spans="1:1" ht="12" customHeight="1" x14ac:dyDescent="0.2">
      <c r="A490" s="16"/>
    </row>
    <row r="491" spans="1:1" ht="12" customHeight="1" x14ac:dyDescent="0.2">
      <c r="A491" s="16"/>
    </row>
    <row r="492" spans="1:1" ht="12" customHeight="1" x14ac:dyDescent="0.2">
      <c r="A492" s="16"/>
    </row>
    <row r="493" spans="1:1" ht="12" customHeight="1" x14ac:dyDescent="0.2">
      <c r="A493" s="16"/>
    </row>
    <row r="494" spans="1:1" ht="12" customHeight="1" x14ac:dyDescent="0.2">
      <c r="A494" s="16"/>
    </row>
    <row r="495" spans="1:1" ht="12" customHeight="1" x14ac:dyDescent="0.2">
      <c r="A495" s="16"/>
    </row>
    <row r="496" spans="1:1" ht="12" customHeight="1" x14ac:dyDescent="0.2">
      <c r="A496" s="16"/>
    </row>
    <row r="497" spans="1:1" ht="12" customHeight="1" x14ac:dyDescent="0.2">
      <c r="A497" s="16"/>
    </row>
    <row r="498" spans="1:1" ht="12" customHeight="1" x14ac:dyDescent="0.2">
      <c r="A498" s="16"/>
    </row>
    <row r="499" spans="1:1" ht="12" customHeight="1" x14ac:dyDescent="0.2">
      <c r="A499" s="16"/>
    </row>
    <row r="500" spans="1:1" ht="12" customHeight="1" x14ac:dyDescent="0.2">
      <c r="A500" s="16"/>
    </row>
    <row r="501" spans="1:1" ht="12" customHeight="1" x14ac:dyDescent="0.2">
      <c r="A501" s="16"/>
    </row>
    <row r="502" spans="1:1" ht="12" customHeight="1" x14ac:dyDescent="0.2">
      <c r="A502" s="16"/>
    </row>
    <row r="503" spans="1:1" ht="12" customHeight="1" x14ac:dyDescent="0.2">
      <c r="A503" s="16"/>
    </row>
    <row r="504" spans="1:1" ht="12" customHeight="1" x14ac:dyDescent="0.2">
      <c r="A504" s="16"/>
    </row>
    <row r="505" spans="1:1" ht="12" customHeight="1" x14ac:dyDescent="0.2">
      <c r="A505" s="16"/>
    </row>
    <row r="506" spans="1:1" ht="12" customHeight="1" x14ac:dyDescent="0.2">
      <c r="A506" s="16"/>
    </row>
    <row r="507" spans="1:1" ht="12" customHeight="1" x14ac:dyDescent="0.2">
      <c r="A507" s="16"/>
    </row>
    <row r="508" spans="1:1" ht="12" customHeight="1" x14ac:dyDescent="0.2">
      <c r="A508" s="16"/>
    </row>
    <row r="509" spans="1:1" ht="12" customHeight="1" x14ac:dyDescent="0.2">
      <c r="A509" s="16"/>
    </row>
    <row r="510" spans="1:1" ht="12" customHeight="1" x14ac:dyDescent="0.2">
      <c r="A510" s="16"/>
    </row>
    <row r="511" spans="1:1" ht="12" customHeight="1" x14ac:dyDescent="0.2">
      <c r="A511" s="16"/>
    </row>
    <row r="512" spans="1:1" ht="12" customHeight="1" x14ac:dyDescent="0.2">
      <c r="A512" s="16"/>
    </row>
    <row r="513" spans="1:1" ht="12" customHeight="1" x14ac:dyDescent="0.2">
      <c r="A513" s="16"/>
    </row>
    <row r="514" spans="1:1" ht="12" customHeight="1" x14ac:dyDescent="0.2">
      <c r="A514" s="16"/>
    </row>
    <row r="515" spans="1:1" ht="12" customHeight="1" x14ac:dyDescent="0.2">
      <c r="A515" s="16"/>
    </row>
    <row r="516" spans="1:1" ht="12" customHeight="1" x14ac:dyDescent="0.2">
      <c r="A516" s="16"/>
    </row>
    <row r="517" spans="1:1" ht="12" customHeight="1" x14ac:dyDescent="0.2">
      <c r="A517" s="16"/>
    </row>
    <row r="518" spans="1:1" ht="12" customHeight="1" x14ac:dyDescent="0.2">
      <c r="A518" s="16"/>
    </row>
    <row r="519" spans="1:1" ht="12" customHeight="1" x14ac:dyDescent="0.2">
      <c r="A519" s="16"/>
    </row>
    <row r="520" spans="1:1" ht="12" customHeight="1" x14ac:dyDescent="0.2">
      <c r="A520" s="16"/>
    </row>
    <row r="521" spans="1:1" ht="12" customHeight="1" x14ac:dyDescent="0.2">
      <c r="A521" s="16"/>
    </row>
    <row r="522" spans="1:1" ht="12" customHeight="1" x14ac:dyDescent="0.2">
      <c r="A522" s="16"/>
    </row>
    <row r="523" spans="1:1" ht="12" customHeight="1" x14ac:dyDescent="0.2">
      <c r="A523" s="16"/>
    </row>
    <row r="524" spans="1:1" ht="12" customHeight="1" x14ac:dyDescent="0.2">
      <c r="A524" s="16"/>
    </row>
    <row r="525" spans="1:1" ht="12" customHeight="1" x14ac:dyDescent="0.2">
      <c r="A525" s="16"/>
    </row>
    <row r="526" spans="1:1" ht="12" customHeight="1" x14ac:dyDescent="0.2">
      <c r="A526" s="16"/>
    </row>
    <row r="527" spans="1:1" ht="12" customHeight="1" x14ac:dyDescent="0.2">
      <c r="A527" s="16"/>
    </row>
    <row r="528" spans="1:1" ht="12" customHeight="1" x14ac:dyDescent="0.2">
      <c r="A528" s="16"/>
    </row>
    <row r="529" spans="1:1" ht="12" customHeight="1" x14ac:dyDescent="0.2">
      <c r="A529" s="16"/>
    </row>
    <row r="530" spans="1:1" ht="12" customHeight="1" x14ac:dyDescent="0.2">
      <c r="A530" s="16"/>
    </row>
    <row r="531" spans="1:1" ht="12" customHeight="1" x14ac:dyDescent="0.2">
      <c r="A531" s="16"/>
    </row>
    <row r="532" spans="1:1" ht="12" customHeight="1" x14ac:dyDescent="0.2">
      <c r="A532" s="16"/>
    </row>
    <row r="533" spans="1:1" ht="12" customHeight="1" x14ac:dyDescent="0.2">
      <c r="A533" s="16"/>
    </row>
    <row r="534" spans="1:1" ht="12" customHeight="1" x14ac:dyDescent="0.2">
      <c r="A534" s="16"/>
    </row>
    <row r="535" spans="1:1" ht="12" customHeight="1" x14ac:dyDescent="0.2">
      <c r="A535" s="16"/>
    </row>
    <row r="536" spans="1:1" ht="12" customHeight="1" x14ac:dyDescent="0.2">
      <c r="A536" s="16"/>
    </row>
    <row r="537" spans="1:1" ht="12" customHeight="1" x14ac:dyDescent="0.2">
      <c r="A537" s="16"/>
    </row>
    <row r="538" spans="1:1" ht="12" customHeight="1" x14ac:dyDescent="0.2">
      <c r="A538" s="16"/>
    </row>
    <row r="539" spans="1:1" ht="12" customHeight="1" x14ac:dyDescent="0.2">
      <c r="A539" s="16"/>
    </row>
    <row r="540" spans="1:1" ht="12" customHeight="1" x14ac:dyDescent="0.2">
      <c r="A540" s="16"/>
    </row>
    <row r="541" spans="1:1" ht="12" customHeight="1" x14ac:dyDescent="0.2">
      <c r="A541" s="16"/>
    </row>
    <row r="542" spans="1:1" ht="12" customHeight="1" x14ac:dyDescent="0.2">
      <c r="A542" s="16"/>
    </row>
    <row r="543" spans="1:1" ht="12" customHeight="1" x14ac:dyDescent="0.2">
      <c r="A543" s="16"/>
    </row>
    <row r="544" spans="1:1" ht="12" customHeight="1" x14ac:dyDescent="0.2">
      <c r="A544" s="16"/>
    </row>
    <row r="545" spans="1:1" ht="12" customHeight="1" x14ac:dyDescent="0.2">
      <c r="A545" s="16"/>
    </row>
    <row r="546" spans="1:1" ht="12" customHeight="1" x14ac:dyDescent="0.2">
      <c r="A546" s="16"/>
    </row>
    <row r="547" spans="1:1" ht="12" customHeight="1" x14ac:dyDescent="0.2">
      <c r="A547" s="16"/>
    </row>
    <row r="548" spans="1:1" ht="12" customHeight="1" x14ac:dyDescent="0.2">
      <c r="A548" s="16"/>
    </row>
    <row r="549" spans="1:1" ht="12" customHeight="1" x14ac:dyDescent="0.2">
      <c r="A549" s="16"/>
    </row>
    <row r="550" spans="1:1" ht="12" customHeight="1" x14ac:dyDescent="0.2">
      <c r="A550" s="16"/>
    </row>
    <row r="551" spans="1:1" ht="12" customHeight="1" x14ac:dyDescent="0.2">
      <c r="A551" s="16"/>
    </row>
    <row r="552" spans="1:1" ht="12" customHeight="1" x14ac:dyDescent="0.2">
      <c r="A552" s="16"/>
    </row>
    <row r="553" spans="1:1" ht="12" customHeight="1" x14ac:dyDescent="0.2">
      <c r="A553" s="16"/>
    </row>
    <row r="554" spans="1:1" ht="12" customHeight="1" x14ac:dyDescent="0.2">
      <c r="A554" s="16"/>
    </row>
    <row r="555" spans="1:1" ht="12" customHeight="1" x14ac:dyDescent="0.2">
      <c r="A555" s="16"/>
    </row>
    <row r="556" spans="1:1" ht="12" customHeight="1" x14ac:dyDescent="0.2">
      <c r="A556" s="16"/>
    </row>
    <row r="557" spans="1:1" ht="12" customHeight="1" x14ac:dyDescent="0.2">
      <c r="A557" s="16"/>
    </row>
    <row r="558" spans="1:1" ht="12" customHeight="1" x14ac:dyDescent="0.2">
      <c r="A558" s="16"/>
    </row>
    <row r="559" spans="1:1" ht="12" customHeight="1" x14ac:dyDescent="0.2">
      <c r="A559" s="16"/>
    </row>
    <row r="560" spans="1:1" ht="12" customHeight="1" x14ac:dyDescent="0.2">
      <c r="A560" s="16"/>
    </row>
    <row r="561" spans="1:1" ht="12" customHeight="1" x14ac:dyDescent="0.2">
      <c r="A561" s="16"/>
    </row>
    <row r="562" spans="1:1" ht="12" customHeight="1" x14ac:dyDescent="0.2">
      <c r="A562" s="16"/>
    </row>
    <row r="563" spans="1:1" ht="12" customHeight="1" x14ac:dyDescent="0.2">
      <c r="A563" s="16"/>
    </row>
    <row r="564" spans="1:1" ht="12" customHeight="1" x14ac:dyDescent="0.2">
      <c r="A564" s="16"/>
    </row>
    <row r="565" spans="1:1" ht="12" customHeight="1" x14ac:dyDescent="0.2">
      <c r="A565" s="16"/>
    </row>
    <row r="566" spans="1:1" ht="12" customHeight="1" x14ac:dyDescent="0.2">
      <c r="A566" s="16"/>
    </row>
    <row r="567" spans="1:1" ht="12" customHeight="1" x14ac:dyDescent="0.2">
      <c r="A567" s="16"/>
    </row>
    <row r="568" spans="1:1" ht="12" customHeight="1" x14ac:dyDescent="0.2">
      <c r="A568" s="16"/>
    </row>
    <row r="569" spans="1:1" ht="12" customHeight="1" x14ac:dyDescent="0.2">
      <c r="A569" s="16"/>
    </row>
    <row r="570" spans="1:1" ht="12" customHeight="1" x14ac:dyDescent="0.2">
      <c r="A570" s="16"/>
    </row>
    <row r="571" spans="1:1" ht="12" customHeight="1" x14ac:dyDescent="0.2">
      <c r="A571" s="16"/>
    </row>
    <row r="572" spans="1:1" ht="12" customHeight="1" x14ac:dyDescent="0.2">
      <c r="A572" s="16"/>
    </row>
    <row r="573" spans="1:1" ht="12" customHeight="1" x14ac:dyDescent="0.2">
      <c r="A573" s="16"/>
    </row>
    <row r="574" spans="1:1" ht="12" customHeight="1" x14ac:dyDescent="0.2">
      <c r="A574" s="16"/>
    </row>
    <row r="575" spans="1:1" ht="12" customHeight="1" x14ac:dyDescent="0.2">
      <c r="A575" s="16"/>
    </row>
    <row r="576" spans="1:1" ht="12" customHeight="1" x14ac:dyDescent="0.2">
      <c r="A576" s="16"/>
    </row>
    <row r="577" spans="1:1" ht="12" customHeight="1" x14ac:dyDescent="0.2">
      <c r="A577" s="16"/>
    </row>
    <row r="578" spans="1:1" ht="12" customHeight="1" x14ac:dyDescent="0.2">
      <c r="A578" s="16"/>
    </row>
    <row r="579" spans="1:1" ht="12" customHeight="1" x14ac:dyDescent="0.2">
      <c r="A579" s="16"/>
    </row>
    <row r="580" spans="1:1" ht="12" customHeight="1" x14ac:dyDescent="0.2">
      <c r="A580" s="16"/>
    </row>
    <row r="581" spans="1:1" ht="12" customHeight="1" x14ac:dyDescent="0.2">
      <c r="A581" s="16"/>
    </row>
    <row r="582" spans="1:1" ht="12" customHeight="1" x14ac:dyDescent="0.2">
      <c r="A582" s="16"/>
    </row>
    <row r="583" spans="1:1" ht="12" customHeight="1" x14ac:dyDescent="0.2">
      <c r="A583" s="16"/>
    </row>
    <row r="584" spans="1:1" ht="12" customHeight="1" x14ac:dyDescent="0.2">
      <c r="A584" s="16"/>
    </row>
    <row r="585" spans="1:1" ht="12" customHeight="1" x14ac:dyDescent="0.2">
      <c r="A585" s="16"/>
    </row>
    <row r="586" spans="1:1" ht="12" customHeight="1" x14ac:dyDescent="0.2">
      <c r="A586" s="16"/>
    </row>
    <row r="587" spans="1:1" ht="12" customHeight="1" x14ac:dyDescent="0.2">
      <c r="A587" s="16"/>
    </row>
    <row r="588" spans="1:1" ht="12" customHeight="1" x14ac:dyDescent="0.2">
      <c r="A588" s="16"/>
    </row>
    <row r="589" spans="1:1" ht="12" customHeight="1" x14ac:dyDescent="0.2">
      <c r="A589" s="16"/>
    </row>
    <row r="590" spans="1:1" ht="12" customHeight="1" x14ac:dyDescent="0.2">
      <c r="A590" s="16"/>
    </row>
    <row r="591" spans="1:1" ht="12" customHeight="1" x14ac:dyDescent="0.2">
      <c r="A591" s="16"/>
    </row>
    <row r="592" spans="1:1" ht="12" customHeight="1" x14ac:dyDescent="0.2">
      <c r="A592" s="16"/>
    </row>
    <row r="593" spans="1:1" ht="12" customHeight="1" x14ac:dyDescent="0.2">
      <c r="A593" s="16"/>
    </row>
    <row r="594" spans="1:1" ht="12" customHeight="1" x14ac:dyDescent="0.2">
      <c r="A594" s="16"/>
    </row>
    <row r="595" spans="1:1" ht="12" customHeight="1" x14ac:dyDescent="0.2">
      <c r="A595" s="16"/>
    </row>
    <row r="596" spans="1:1" ht="12" customHeight="1" x14ac:dyDescent="0.2">
      <c r="A596" s="16"/>
    </row>
    <row r="597" spans="1:1" ht="12" customHeight="1" x14ac:dyDescent="0.2">
      <c r="A597" s="16"/>
    </row>
    <row r="598" spans="1:1" ht="12" customHeight="1" x14ac:dyDescent="0.2">
      <c r="A598" s="16"/>
    </row>
    <row r="599" spans="1:1" ht="12" customHeight="1" x14ac:dyDescent="0.2">
      <c r="A599" s="16"/>
    </row>
    <row r="600" spans="1:1" ht="12" customHeight="1" x14ac:dyDescent="0.2">
      <c r="A600" s="16"/>
    </row>
    <row r="601" spans="1:1" ht="12" customHeight="1" x14ac:dyDescent="0.2">
      <c r="A601" s="16"/>
    </row>
    <row r="602" spans="1:1" ht="12" customHeight="1" x14ac:dyDescent="0.2">
      <c r="A602" s="16"/>
    </row>
    <row r="603" spans="1:1" ht="12" customHeight="1" x14ac:dyDescent="0.2">
      <c r="A603" s="16"/>
    </row>
    <row r="604" spans="1:1" ht="12" customHeight="1" x14ac:dyDescent="0.2">
      <c r="A604" s="16"/>
    </row>
    <row r="605" spans="1:1" ht="12" customHeight="1" x14ac:dyDescent="0.2">
      <c r="A605" s="16"/>
    </row>
    <row r="606" spans="1:1" ht="12" customHeight="1" x14ac:dyDescent="0.2">
      <c r="A606" s="16"/>
    </row>
    <row r="607" spans="1:1" ht="12" customHeight="1" x14ac:dyDescent="0.2">
      <c r="A607" s="16"/>
    </row>
    <row r="608" spans="1:1" ht="12" customHeight="1" x14ac:dyDescent="0.2">
      <c r="A608" s="16"/>
    </row>
    <row r="609" spans="1:1" ht="12" customHeight="1" x14ac:dyDescent="0.2">
      <c r="A609" s="16"/>
    </row>
    <row r="610" spans="1:1" ht="12" customHeight="1" x14ac:dyDescent="0.2">
      <c r="A610" s="16"/>
    </row>
    <row r="611" spans="1:1" ht="12" customHeight="1" x14ac:dyDescent="0.2">
      <c r="A611" s="16"/>
    </row>
    <row r="612" spans="1:1" ht="12" customHeight="1" x14ac:dyDescent="0.2">
      <c r="A612" s="16"/>
    </row>
    <row r="613" spans="1:1" ht="12" customHeight="1" x14ac:dyDescent="0.2">
      <c r="A613" s="16"/>
    </row>
    <row r="614" spans="1:1" ht="12" customHeight="1" x14ac:dyDescent="0.2">
      <c r="A614" s="16"/>
    </row>
    <row r="615" spans="1:1" ht="12" customHeight="1" x14ac:dyDescent="0.2">
      <c r="A615" s="16"/>
    </row>
    <row r="616" spans="1:1" ht="12" customHeight="1" x14ac:dyDescent="0.2">
      <c r="A616" s="16"/>
    </row>
    <row r="617" spans="1:1" ht="12" customHeight="1" x14ac:dyDescent="0.2">
      <c r="A617" s="16"/>
    </row>
    <row r="618" spans="1:1" ht="12" customHeight="1" x14ac:dyDescent="0.2">
      <c r="A618" s="16"/>
    </row>
    <row r="619" spans="1:1" ht="12" customHeight="1" x14ac:dyDescent="0.2">
      <c r="A619" s="16"/>
    </row>
    <row r="620" spans="1:1" ht="12" customHeight="1" x14ac:dyDescent="0.2">
      <c r="A620" s="16"/>
    </row>
    <row r="621" spans="1:1" ht="12" customHeight="1" x14ac:dyDescent="0.2">
      <c r="A621" s="16"/>
    </row>
    <row r="622" spans="1:1" ht="12" customHeight="1" x14ac:dyDescent="0.2">
      <c r="A622" s="16"/>
    </row>
    <row r="623" spans="1:1" ht="12" customHeight="1" x14ac:dyDescent="0.2">
      <c r="A623" s="16"/>
    </row>
    <row r="624" spans="1:1" ht="12" customHeight="1" x14ac:dyDescent="0.2">
      <c r="A624" s="16"/>
    </row>
    <row r="625" spans="1:1" ht="12" customHeight="1" x14ac:dyDescent="0.2">
      <c r="A625" s="16"/>
    </row>
    <row r="626" spans="1:1" ht="12" customHeight="1" x14ac:dyDescent="0.2">
      <c r="A626" s="16"/>
    </row>
    <row r="627" spans="1:1" ht="12" customHeight="1" x14ac:dyDescent="0.2">
      <c r="A627" s="16"/>
    </row>
    <row r="628" spans="1:1" ht="12" customHeight="1" x14ac:dyDescent="0.2">
      <c r="A628" s="16"/>
    </row>
    <row r="629" spans="1:1" ht="12" customHeight="1" x14ac:dyDescent="0.2">
      <c r="A629" s="16"/>
    </row>
    <row r="630" spans="1:1" ht="12" customHeight="1" x14ac:dyDescent="0.2">
      <c r="A630" s="16"/>
    </row>
    <row r="631" spans="1:1" ht="12" customHeight="1" x14ac:dyDescent="0.2">
      <c r="A631" s="16"/>
    </row>
    <row r="632" spans="1:1" ht="12" customHeight="1" x14ac:dyDescent="0.2">
      <c r="A632" s="16"/>
    </row>
    <row r="633" spans="1:1" ht="12" customHeight="1" x14ac:dyDescent="0.2">
      <c r="A633" s="16"/>
    </row>
    <row r="634" spans="1:1" ht="12" customHeight="1" x14ac:dyDescent="0.2">
      <c r="A634" s="16"/>
    </row>
    <row r="635" spans="1:1" ht="12" customHeight="1" x14ac:dyDescent="0.2">
      <c r="A635" s="16"/>
    </row>
    <row r="636" spans="1:1" ht="12" customHeight="1" x14ac:dyDescent="0.2">
      <c r="A636" s="16"/>
    </row>
    <row r="637" spans="1:1" ht="12" customHeight="1" x14ac:dyDescent="0.2">
      <c r="A637" s="16"/>
    </row>
    <row r="638" spans="1:1" ht="12" customHeight="1" x14ac:dyDescent="0.2">
      <c r="A638" s="16"/>
    </row>
    <row r="639" spans="1:1" ht="12" customHeight="1" x14ac:dyDescent="0.2">
      <c r="A639" s="16"/>
    </row>
    <row r="640" spans="1:1" ht="12" customHeight="1" x14ac:dyDescent="0.2">
      <c r="A640" s="16"/>
    </row>
    <row r="641" spans="1:1" ht="12" customHeight="1" x14ac:dyDescent="0.2">
      <c r="A641" s="16"/>
    </row>
    <row r="642" spans="1:1" ht="12" customHeight="1" x14ac:dyDescent="0.2">
      <c r="A642" s="16"/>
    </row>
    <row r="643" spans="1:1" ht="12" customHeight="1" x14ac:dyDescent="0.2">
      <c r="A643" s="16"/>
    </row>
    <row r="644" spans="1:1" ht="12" customHeight="1" x14ac:dyDescent="0.2">
      <c r="A644" s="16"/>
    </row>
    <row r="645" spans="1:1" ht="12" customHeight="1" x14ac:dyDescent="0.2">
      <c r="A645" s="16"/>
    </row>
    <row r="646" spans="1:1" ht="12" customHeight="1" x14ac:dyDescent="0.2">
      <c r="A646" s="16"/>
    </row>
    <row r="647" spans="1:1" ht="12" customHeight="1" x14ac:dyDescent="0.2">
      <c r="A647" s="16"/>
    </row>
    <row r="648" spans="1:1" ht="12" customHeight="1" x14ac:dyDescent="0.2">
      <c r="A648" s="16"/>
    </row>
    <row r="649" spans="1:1" ht="12" customHeight="1" x14ac:dyDescent="0.2">
      <c r="A649" s="16"/>
    </row>
    <row r="650" spans="1:1" ht="12" customHeight="1" x14ac:dyDescent="0.2">
      <c r="A650" s="16"/>
    </row>
    <row r="651" spans="1:1" ht="12" customHeight="1" x14ac:dyDescent="0.2">
      <c r="A651" s="16"/>
    </row>
    <row r="652" spans="1:1" ht="12" customHeight="1" x14ac:dyDescent="0.2">
      <c r="A652" s="16"/>
    </row>
    <row r="653" spans="1:1" ht="12" customHeight="1" x14ac:dyDescent="0.2">
      <c r="A653" s="16"/>
    </row>
    <row r="654" spans="1:1" ht="12" customHeight="1" x14ac:dyDescent="0.2">
      <c r="A654" s="16"/>
    </row>
    <row r="655" spans="1:1" ht="12" customHeight="1" x14ac:dyDescent="0.2">
      <c r="A655" s="16"/>
    </row>
    <row r="656" spans="1:1" ht="12" customHeight="1" x14ac:dyDescent="0.2">
      <c r="A656" s="16"/>
    </row>
    <row r="657" spans="1:1" ht="12" customHeight="1" x14ac:dyDescent="0.2">
      <c r="A657" s="16"/>
    </row>
    <row r="658" spans="1:1" ht="12" customHeight="1" x14ac:dyDescent="0.2">
      <c r="A658" s="16"/>
    </row>
    <row r="659" spans="1:1" ht="12" customHeight="1" x14ac:dyDescent="0.2">
      <c r="A659" s="16"/>
    </row>
    <row r="660" spans="1:1" ht="12" customHeight="1" x14ac:dyDescent="0.2">
      <c r="A660" s="16"/>
    </row>
    <row r="661" spans="1:1" ht="12" customHeight="1" x14ac:dyDescent="0.2">
      <c r="A661" s="16"/>
    </row>
    <row r="662" spans="1:1" ht="12" customHeight="1" x14ac:dyDescent="0.2">
      <c r="A662" s="16"/>
    </row>
    <row r="663" spans="1:1" ht="12" customHeight="1" x14ac:dyDescent="0.2">
      <c r="A663" s="16"/>
    </row>
    <row r="664" spans="1:1" ht="12" customHeight="1" x14ac:dyDescent="0.2">
      <c r="A664" s="16"/>
    </row>
    <row r="665" spans="1:1" ht="12" customHeight="1" x14ac:dyDescent="0.2">
      <c r="A665" s="16"/>
    </row>
    <row r="666" spans="1:1" ht="12" customHeight="1" x14ac:dyDescent="0.2">
      <c r="A666" s="16"/>
    </row>
    <row r="667" spans="1:1" ht="12" customHeight="1" x14ac:dyDescent="0.2">
      <c r="A667" s="16"/>
    </row>
    <row r="668" spans="1:1" ht="12" customHeight="1" x14ac:dyDescent="0.2">
      <c r="A668" s="16"/>
    </row>
    <row r="669" spans="1:1" ht="12" customHeight="1" x14ac:dyDescent="0.2">
      <c r="A669" s="16"/>
    </row>
    <row r="670" spans="1:1" ht="12" customHeight="1" x14ac:dyDescent="0.2">
      <c r="A670" s="16"/>
    </row>
    <row r="671" spans="1:1" ht="12" customHeight="1" x14ac:dyDescent="0.2">
      <c r="A671" s="16"/>
    </row>
    <row r="672" spans="1:1" ht="12" customHeight="1" x14ac:dyDescent="0.2">
      <c r="A672" s="16"/>
    </row>
    <row r="673" spans="1:1" ht="12" customHeight="1" x14ac:dyDescent="0.2">
      <c r="A673" s="16"/>
    </row>
    <row r="674" spans="1:1" ht="12" customHeight="1" x14ac:dyDescent="0.2">
      <c r="A674" s="16"/>
    </row>
    <row r="675" spans="1:1" ht="12" customHeight="1" x14ac:dyDescent="0.2">
      <c r="A675" s="16"/>
    </row>
    <row r="676" spans="1:1" ht="12" customHeight="1" x14ac:dyDescent="0.2">
      <c r="A676" s="16"/>
    </row>
    <row r="677" spans="1:1" ht="12" customHeight="1" x14ac:dyDescent="0.2">
      <c r="A677" s="16"/>
    </row>
    <row r="678" spans="1:1" ht="12" customHeight="1" x14ac:dyDescent="0.2">
      <c r="A678" s="16"/>
    </row>
    <row r="679" spans="1:1" ht="12" customHeight="1" x14ac:dyDescent="0.2">
      <c r="A679" s="16"/>
    </row>
    <row r="680" spans="1:1" ht="12" customHeight="1" x14ac:dyDescent="0.2">
      <c r="A680" s="16"/>
    </row>
    <row r="681" spans="1:1" ht="12" customHeight="1" x14ac:dyDescent="0.2">
      <c r="A681" s="16"/>
    </row>
    <row r="682" spans="1:1" ht="12" customHeight="1" x14ac:dyDescent="0.2">
      <c r="A682" s="16"/>
    </row>
    <row r="683" spans="1:1" ht="12" customHeight="1" x14ac:dyDescent="0.2">
      <c r="A683" s="16"/>
    </row>
    <row r="684" spans="1:1" ht="12" customHeight="1" x14ac:dyDescent="0.2">
      <c r="A684" s="16"/>
    </row>
    <row r="685" spans="1:1" ht="12" customHeight="1" x14ac:dyDescent="0.2">
      <c r="A685" s="16"/>
    </row>
    <row r="686" spans="1:1" ht="12" customHeight="1" x14ac:dyDescent="0.2">
      <c r="A686" s="16"/>
    </row>
    <row r="687" spans="1:1" ht="12" customHeight="1" x14ac:dyDescent="0.2">
      <c r="A687" s="16"/>
    </row>
    <row r="688" spans="1:1" ht="12" customHeight="1" x14ac:dyDescent="0.2">
      <c r="A688" s="16"/>
    </row>
    <row r="689" spans="1:1" ht="12" customHeight="1" x14ac:dyDescent="0.2">
      <c r="A689" s="16"/>
    </row>
    <row r="690" spans="1:1" ht="12" customHeight="1" x14ac:dyDescent="0.2">
      <c r="A690" s="16"/>
    </row>
    <row r="691" spans="1:1" ht="12" customHeight="1" x14ac:dyDescent="0.2">
      <c r="A691" s="16"/>
    </row>
    <row r="692" spans="1:1" ht="12" customHeight="1" x14ac:dyDescent="0.2">
      <c r="A692" s="16"/>
    </row>
    <row r="693" spans="1:1" ht="12" customHeight="1" x14ac:dyDescent="0.2">
      <c r="A693" s="16"/>
    </row>
    <row r="694" spans="1:1" ht="12" customHeight="1" x14ac:dyDescent="0.2">
      <c r="A694" s="16"/>
    </row>
    <row r="695" spans="1:1" ht="12" customHeight="1" x14ac:dyDescent="0.2">
      <c r="A695" s="16"/>
    </row>
    <row r="696" spans="1:1" ht="12" customHeight="1" x14ac:dyDescent="0.2">
      <c r="A696" s="16"/>
    </row>
    <row r="697" spans="1:1" ht="12" customHeight="1" x14ac:dyDescent="0.2">
      <c r="A697" s="16"/>
    </row>
    <row r="698" spans="1:1" ht="12" customHeight="1" x14ac:dyDescent="0.2">
      <c r="A698" s="16"/>
    </row>
    <row r="699" spans="1:1" ht="12" customHeight="1" x14ac:dyDescent="0.2">
      <c r="A699" s="16"/>
    </row>
    <row r="700" spans="1:1" ht="12" customHeight="1" x14ac:dyDescent="0.2">
      <c r="A700" s="16"/>
    </row>
    <row r="701" spans="1:1" ht="12" customHeight="1" x14ac:dyDescent="0.2">
      <c r="A701" s="16"/>
    </row>
    <row r="702" spans="1:1" ht="12" customHeight="1" x14ac:dyDescent="0.2">
      <c r="A702" s="16"/>
    </row>
    <row r="703" spans="1:1" ht="12" customHeight="1" x14ac:dyDescent="0.2">
      <c r="A703" s="16"/>
    </row>
    <row r="704" spans="1:1" ht="12" customHeight="1" x14ac:dyDescent="0.2">
      <c r="A704" s="16"/>
    </row>
    <row r="705" spans="1:1" ht="12" customHeight="1" x14ac:dyDescent="0.2">
      <c r="A705" s="16"/>
    </row>
    <row r="706" spans="1:1" ht="12" customHeight="1" x14ac:dyDescent="0.2">
      <c r="A706" s="16"/>
    </row>
    <row r="707" spans="1:1" ht="12" customHeight="1" x14ac:dyDescent="0.2">
      <c r="A707" s="16"/>
    </row>
    <row r="708" spans="1:1" ht="12" customHeight="1" x14ac:dyDescent="0.2">
      <c r="A708" s="16"/>
    </row>
    <row r="709" spans="1:1" ht="12" customHeight="1" x14ac:dyDescent="0.2">
      <c r="A709" s="16"/>
    </row>
    <row r="710" spans="1:1" ht="12" customHeight="1" x14ac:dyDescent="0.2">
      <c r="A710" s="16"/>
    </row>
    <row r="711" spans="1:1" ht="12" customHeight="1" x14ac:dyDescent="0.2">
      <c r="A711" s="16"/>
    </row>
    <row r="712" spans="1:1" ht="12" customHeight="1" x14ac:dyDescent="0.2">
      <c r="A712" s="16"/>
    </row>
    <row r="713" spans="1:1" ht="12" customHeight="1" x14ac:dyDescent="0.2">
      <c r="A713" s="16"/>
    </row>
    <row r="714" spans="1:1" ht="12" customHeight="1" x14ac:dyDescent="0.2">
      <c r="A714" s="16"/>
    </row>
    <row r="715" spans="1:1" ht="12" customHeight="1" x14ac:dyDescent="0.2">
      <c r="A715" s="16"/>
    </row>
    <row r="716" spans="1:1" ht="12" customHeight="1" x14ac:dyDescent="0.2">
      <c r="A716" s="16"/>
    </row>
    <row r="717" spans="1:1" ht="12" customHeight="1" x14ac:dyDescent="0.2">
      <c r="A717" s="16"/>
    </row>
    <row r="718" spans="1:1" ht="12" customHeight="1" x14ac:dyDescent="0.2">
      <c r="A718" s="16"/>
    </row>
    <row r="719" spans="1:1" ht="12" customHeight="1" x14ac:dyDescent="0.2">
      <c r="A719" s="16"/>
    </row>
    <row r="720" spans="1:1" ht="12" customHeight="1" x14ac:dyDescent="0.2">
      <c r="A720" s="16"/>
    </row>
    <row r="721" spans="1:1" ht="12" customHeight="1" x14ac:dyDescent="0.2">
      <c r="A721" s="16"/>
    </row>
    <row r="722" spans="1:1" ht="12" customHeight="1" x14ac:dyDescent="0.2">
      <c r="A722" s="16"/>
    </row>
    <row r="723" spans="1:1" ht="12" customHeight="1" x14ac:dyDescent="0.2">
      <c r="A723" s="16"/>
    </row>
    <row r="724" spans="1:1" ht="12" customHeight="1" x14ac:dyDescent="0.2">
      <c r="A724" s="16"/>
    </row>
    <row r="725" spans="1:1" ht="12" customHeight="1" x14ac:dyDescent="0.2">
      <c r="A725" s="16"/>
    </row>
    <row r="726" spans="1:1" ht="12" customHeight="1" x14ac:dyDescent="0.2">
      <c r="A726" s="16"/>
    </row>
    <row r="727" spans="1:1" ht="12" customHeight="1" x14ac:dyDescent="0.2">
      <c r="A727" s="16"/>
    </row>
    <row r="728" spans="1:1" ht="12" customHeight="1" x14ac:dyDescent="0.2">
      <c r="A728" s="16"/>
    </row>
    <row r="729" spans="1:1" ht="12" customHeight="1" x14ac:dyDescent="0.2">
      <c r="A729" s="16"/>
    </row>
    <row r="730" spans="1:1" ht="12" customHeight="1" x14ac:dyDescent="0.2">
      <c r="A730" s="16"/>
    </row>
    <row r="731" spans="1:1" ht="12" customHeight="1" x14ac:dyDescent="0.2">
      <c r="A731" s="16"/>
    </row>
    <row r="732" spans="1:1" ht="12" customHeight="1" x14ac:dyDescent="0.2">
      <c r="A732" s="16"/>
    </row>
    <row r="733" spans="1:1" ht="12" customHeight="1" x14ac:dyDescent="0.2">
      <c r="A733" s="16"/>
    </row>
    <row r="734" spans="1:1" ht="12" customHeight="1" x14ac:dyDescent="0.2">
      <c r="A734" s="16"/>
    </row>
    <row r="735" spans="1:1" ht="12" customHeight="1" x14ac:dyDescent="0.2">
      <c r="A735" s="16"/>
    </row>
    <row r="736" spans="1:1" ht="12" customHeight="1" x14ac:dyDescent="0.2">
      <c r="A736" s="16"/>
    </row>
    <row r="737" spans="1:1" ht="12" customHeight="1" x14ac:dyDescent="0.2">
      <c r="A737" s="16"/>
    </row>
    <row r="738" spans="1:1" ht="12" customHeight="1" x14ac:dyDescent="0.2">
      <c r="A738" s="16"/>
    </row>
    <row r="739" spans="1:1" ht="12" customHeight="1" x14ac:dyDescent="0.2">
      <c r="A739" s="16"/>
    </row>
    <row r="740" spans="1:1" ht="12" customHeight="1" x14ac:dyDescent="0.2">
      <c r="A740" s="16"/>
    </row>
    <row r="741" spans="1:1" ht="12" customHeight="1" x14ac:dyDescent="0.2">
      <c r="A741" s="16"/>
    </row>
    <row r="742" spans="1:1" ht="12" customHeight="1" x14ac:dyDescent="0.2">
      <c r="A742" s="16"/>
    </row>
    <row r="743" spans="1:1" ht="12" customHeight="1" x14ac:dyDescent="0.2">
      <c r="A743" s="16"/>
    </row>
    <row r="744" spans="1:1" ht="12" customHeight="1" x14ac:dyDescent="0.2">
      <c r="A744" s="16"/>
    </row>
    <row r="745" spans="1:1" ht="12" customHeight="1" x14ac:dyDescent="0.2">
      <c r="A745" s="16"/>
    </row>
    <row r="746" spans="1:1" ht="12" customHeight="1" x14ac:dyDescent="0.2">
      <c r="A746" s="16"/>
    </row>
    <row r="747" spans="1:1" ht="12" customHeight="1" x14ac:dyDescent="0.2">
      <c r="A747" s="16"/>
    </row>
    <row r="748" spans="1:1" ht="12" customHeight="1" x14ac:dyDescent="0.2">
      <c r="A748" s="16"/>
    </row>
    <row r="749" spans="1:1" ht="12" customHeight="1" x14ac:dyDescent="0.2">
      <c r="A749" s="16"/>
    </row>
    <row r="750" spans="1:1" ht="12" customHeight="1" x14ac:dyDescent="0.2">
      <c r="A750" s="16"/>
    </row>
    <row r="751" spans="1:1" ht="12" customHeight="1" x14ac:dyDescent="0.2">
      <c r="A751" s="16"/>
    </row>
    <row r="752" spans="1:1" ht="12" customHeight="1" x14ac:dyDescent="0.2">
      <c r="A752" s="16"/>
    </row>
    <row r="753" spans="1:1" ht="12" customHeight="1" x14ac:dyDescent="0.2">
      <c r="A753" s="16"/>
    </row>
    <row r="754" spans="1:1" ht="12" customHeight="1" x14ac:dyDescent="0.2">
      <c r="A754" s="16"/>
    </row>
    <row r="755" spans="1:1" ht="12" customHeight="1" x14ac:dyDescent="0.2">
      <c r="A755" s="16"/>
    </row>
    <row r="756" spans="1:1" ht="12" customHeight="1" x14ac:dyDescent="0.2">
      <c r="A756" s="16"/>
    </row>
    <row r="757" spans="1:1" ht="12" customHeight="1" x14ac:dyDescent="0.2">
      <c r="A757" s="16"/>
    </row>
    <row r="758" spans="1:1" ht="12" customHeight="1" x14ac:dyDescent="0.2">
      <c r="A758" s="16"/>
    </row>
    <row r="759" spans="1:1" ht="12" customHeight="1" x14ac:dyDescent="0.2">
      <c r="A759" s="16"/>
    </row>
    <row r="760" spans="1:1" ht="12" customHeight="1" x14ac:dyDescent="0.2">
      <c r="A760" s="16"/>
    </row>
    <row r="761" spans="1:1" ht="12" customHeight="1" x14ac:dyDescent="0.2">
      <c r="A761" s="16"/>
    </row>
    <row r="762" spans="1:1" ht="12" customHeight="1" x14ac:dyDescent="0.2">
      <c r="A762" s="16"/>
    </row>
    <row r="763" spans="1:1" ht="12" customHeight="1" x14ac:dyDescent="0.2">
      <c r="A763" s="16"/>
    </row>
    <row r="764" spans="1:1" ht="12" customHeight="1" x14ac:dyDescent="0.2">
      <c r="A764" s="16"/>
    </row>
    <row r="765" spans="1:1" ht="12" customHeight="1" x14ac:dyDescent="0.2">
      <c r="A765" s="16"/>
    </row>
    <row r="766" spans="1:1" ht="12" customHeight="1" x14ac:dyDescent="0.2">
      <c r="A766" s="16"/>
    </row>
    <row r="767" spans="1:1" ht="12" customHeight="1" x14ac:dyDescent="0.2">
      <c r="A767" s="16"/>
    </row>
    <row r="768" spans="1:1" ht="12" customHeight="1" x14ac:dyDescent="0.2">
      <c r="A768" s="16"/>
    </row>
    <row r="769" spans="1:1" ht="12" customHeight="1" x14ac:dyDescent="0.2">
      <c r="A769" s="16"/>
    </row>
    <row r="770" spans="1:1" ht="12" customHeight="1" x14ac:dyDescent="0.2">
      <c r="A770" s="16"/>
    </row>
    <row r="771" spans="1:1" ht="12" customHeight="1" x14ac:dyDescent="0.2">
      <c r="A771" s="16"/>
    </row>
    <row r="772" spans="1:1" ht="12" customHeight="1" x14ac:dyDescent="0.2">
      <c r="A772" s="16"/>
    </row>
    <row r="773" spans="1:1" ht="12" customHeight="1" x14ac:dyDescent="0.2">
      <c r="A773" s="16"/>
    </row>
    <row r="774" spans="1:1" ht="12" customHeight="1" x14ac:dyDescent="0.2">
      <c r="A774" s="16"/>
    </row>
    <row r="775" spans="1:1" ht="12" customHeight="1" x14ac:dyDescent="0.2">
      <c r="A775" s="16"/>
    </row>
    <row r="776" spans="1:1" ht="12" customHeight="1" x14ac:dyDescent="0.2">
      <c r="A776" s="16"/>
    </row>
    <row r="777" spans="1:1" ht="12" customHeight="1" x14ac:dyDescent="0.2">
      <c r="A777" s="16"/>
    </row>
    <row r="778" spans="1:1" ht="12" customHeight="1" x14ac:dyDescent="0.2">
      <c r="A778" s="16"/>
    </row>
    <row r="779" spans="1:1" ht="12" customHeight="1" x14ac:dyDescent="0.2">
      <c r="A779" s="16"/>
    </row>
    <row r="780" spans="1:1" ht="12" customHeight="1" x14ac:dyDescent="0.2">
      <c r="A780" s="16"/>
    </row>
    <row r="781" spans="1:1" ht="12" customHeight="1" x14ac:dyDescent="0.2">
      <c r="A781" s="16"/>
    </row>
    <row r="782" spans="1:1" ht="12" customHeight="1" x14ac:dyDescent="0.2">
      <c r="A782" s="16"/>
    </row>
    <row r="783" spans="1:1" ht="12" customHeight="1" x14ac:dyDescent="0.2">
      <c r="A783" s="16"/>
    </row>
    <row r="784" spans="1:1" ht="12" customHeight="1" x14ac:dyDescent="0.2">
      <c r="A784" s="16"/>
    </row>
    <row r="785" spans="1:1" ht="12" customHeight="1" x14ac:dyDescent="0.2">
      <c r="A785" s="16"/>
    </row>
    <row r="786" spans="1:1" ht="12" customHeight="1" x14ac:dyDescent="0.2">
      <c r="A786" s="16"/>
    </row>
    <row r="787" spans="1:1" ht="12" customHeight="1" x14ac:dyDescent="0.2">
      <c r="A787" s="16"/>
    </row>
    <row r="788" spans="1:1" ht="12" customHeight="1" x14ac:dyDescent="0.2">
      <c r="A788" s="16"/>
    </row>
    <row r="789" spans="1:1" ht="12" customHeight="1" x14ac:dyDescent="0.2">
      <c r="A789" s="16"/>
    </row>
    <row r="790" spans="1:1" ht="12" customHeight="1" x14ac:dyDescent="0.2">
      <c r="A790" s="16"/>
    </row>
    <row r="791" spans="1:1" ht="12" customHeight="1" x14ac:dyDescent="0.2">
      <c r="A791" s="16"/>
    </row>
    <row r="792" spans="1:1" ht="12" customHeight="1" x14ac:dyDescent="0.2">
      <c r="A792" s="16"/>
    </row>
    <row r="793" spans="1:1" ht="12" customHeight="1" x14ac:dyDescent="0.2">
      <c r="A793" s="16"/>
    </row>
    <row r="794" spans="1:1" ht="12" customHeight="1" x14ac:dyDescent="0.2">
      <c r="A794" s="16"/>
    </row>
    <row r="795" spans="1:1" ht="12" customHeight="1" x14ac:dyDescent="0.2">
      <c r="A795" s="16"/>
    </row>
    <row r="796" spans="1:1" ht="12" customHeight="1" x14ac:dyDescent="0.2">
      <c r="A796" s="16"/>
    </row>
    <row r="797" spans="1:1" ht="12" customHeight="1" x14ac:dyDescent="0.2">
      <c r="A797" s="16"/>
    </row>
    <row r="798" spans="1:1" ht="12" customHeight="1" x14ac:dyDescent="0.2">
      <c r="A798" s="16"/>
    </row>
    <row r="799" spans="1:1" ht="12" customHeight="1" x14ac:dyDescent="0.2">
      <c r="A799" s="16"/>
    </row>
    <row r="800" spans="1:1" ht="12" customHeight="1" x14ac:dyDescent="0.2">
      <c r="A800" s="16"/>
    </row>
    <row r="801" spans="1:1" ht="12" customHeight="1" x14ac:dyDescent="0.2">
      <c r="A801" s="16"/>
    </row>
    <row r="802" spans="1:1" ht="12" customHeight="1" x14ac:dyDescent="0.2">
      <c r="A802" s="16"/>
    </row>
    <row r="803" spans="1:1" ht="12" customHeight="1" x14ac:dyDescent="0.2">
      <c r="A803" s="16"/>
    </row>
    <row r="804" spans="1:1" ht="12" customHeight="1" x14ac:dyDescent="0.2">
      <c r="A804" s="16"/>
    </row>
    <row r="805" spans="1:1" ht="12" customHeight="1" x14ac:dyDescent="0.2">
      <c r="A805" s="16"/>
    </row>
    <row r="806" spans="1:1" ht="12" customHeight="1" x14ac:dyDescent="0.2">
      <c r="A806" s="16"/>
    </row>
    <row r="807" spans="1:1" ht="12" customHeight="1" x14ac:dyDescent="0.2">
      <c r="A807" s="16"/>
    </row>
    <row r="808" spans="1:1" ht="12" customHeight="1" x14ac:dyDescent="0.2">
      <c r="A808" s="16"/>
    </row>
    <row r="809" spans="1:1" ht="12" customHeight="1" x14ac:dyDescent="0.2">
      <c r="A809" s="16"/>
    </row>
    <row r="810" spans="1:1" ht="12" customHeight="1" x14ac:dyDescent="0.2">
      <c r="A810" s="16"/>
    </row>
    <row r="811" spans="1:1" ht="12" customHeight="1" x14ac:dyDescent="0.2">
      <c r="A811" s="16"/>
    </row>
    <row r="812" spans="1:1" ht="12" customHeight="1" x14ac:dyDescent="0.2">
      <c r="A812" s="16"/>
    </row>
    <row r="813" spans="1:1" ht="12" customHeight="1" x14ac:dyDescent="0.2">
      <c r="A813" s="16"/>
    </row>
    <row r="814" spans="1:1" ht="12" customHeight="1" x14ac:dyDescent="0.2">
      <c r="A814" s="16"/>
    </row>
    <row r="815" spans="1:1" ht="12" customHeight="1" x14ac:dyDescent="0.2">
      <c r="A815" s="16"/>
    </row>
    <row r="816" spans="1:1" ht="12" customHeight="1" x14ac:dyDescent="0.2">
      <c r="A816" s="16"/>
    </row>
    <row r="817" spans="1:1" ht="12" customHeight="1" x14ac:dyDescent="0.2">
      <c r="A817" s="16"/>
    </row>
    <row r="818" spans="1:1" ht="12" customHeight="1" x14ac:dyDescent="0.2">
      <c r="A818" s="16"/>
    </row>
    <row r="819" spans="1:1" ht="12" customHeight="1" x14ac:dyDescent="0.2">
      <c r="A819" s="16"/>
    </row>
    <row r="820" spans="1:1" ht="12" customHeight="1" x14ac:dyDescent="0.2">
      <c r="A820" s="16"/>
    </row>
    <row r="821" spans="1:1" ht="12" customHeight="1" x14ac:dyDescent="0.2">
      <c r="A821" s="16"/>
    </row>
    <row r="822" spans="1:1" ht="12" customHeight="1" x14ac:dyDescent="0.2">
      <c r="A822" s="16"/>
    </row>
    <row r="823" spans="1:1" ht="12" customHeight="1" x14ac:dyDescent="0.2">
      <c r="A823" s="16"/>
    </row>
    <row r="824" spans="1:1" ht="12" customHeight="1" x14ac:dyDescent="0.2">
      <c r="A824" s="16"/>
    </row>
    <row r="825" spans="1:1" ht="12" customHeight="1" x14ac:dyDescent="0.2">
      <c r="A825" s="16"/>
    </row>
    <row r="826" spans="1:1" ht="12" customHeight="1" x14ac:dyDescent="0.2">
      <c r="A826" s="16"/>
    </row>
    <row r="827" spans="1:1" ht="12" customHeight="1" x14ac:dyDescent="0.2">
      <c r="A827" s="16"/>
    </row>
    <row r="828" spans="1:1" ht="12" customHeight="1" x14ac:dyDescent="0.2">
      <c r="A828" s="16"/>
    </row>
    <row r="829" spans="1:1" ht="12" customHeight="1" x14ac:dyDescent="0.2">
      <c r="A829" s="16"/>
    </row>
    <row r="830" spans="1:1" ht="12" customHeight="1" x14ac:dyDescent="0.2">
      <c r="A830" s="16"/>
    </row>
    <row r="831" spans="1:1" ht="12" customHeight="1" x14ac:dyDescent="0.2">
      <c r="A831" s="16"/>
    </row>
    <row r="832" spans="1:1" ht="12" customHeight="1" x14ac:dyDescent="0.2">
      <c r="A832" s="16"/>
    </row>
    <row r="833" spans="1:1" ht="12" customHeight="1" x14ac:dyDescent="0.2">
      <c r="A833" s="16"/>
    </row>
    <row r="834" spans="1:1" ht="12" customHeight="1" x14ac:dyDescent="0.2">
      <c r="A834" s="16"/>
    </row>
    <row r="835" spans="1:1" ht="12" customHeight="1" x14ac:dyDescent="0.2">
      <c r="A835" s="16"/>
    </row>
    <row r="836" spans="1:1" ht="12" customHeight="1" x14ac:dyDescent="0.2">
      <c r="A836" s="16"/>
    </row>
    <row r="837" spans="1:1" ht="12" customHeight="1" x14ac:dyDescent="0.2">
      <c r="A837" s="16"/>
    </row>
    <row r="838" spans="1:1" ht="12" customHeight="1" x14ac:dyDescent="0.2">
      <c r="A838" s="16"/>
    </row>
    <row r="839" spans="1:1" ht="12" customHeight="1" x14ac:dyDescent="0.2">
      <c r="A839" s="16"/>
    </row>
    <row r="840" spans="1:1" ht="12" customHeight="1" x14ac:dyDescent="0.2">
      <c r="A840" s="16"/>
    </row>
    <row r="841" spans="1:1" ht="12" customHeight="1" x14ac:dyDescent="0.2">
      <c r="A841" s="16"/>
    </row>
    <row r="842" spans="1:1" ht="12" customHeight="1" x14ac:dyDescent="0.2">
      <c r="A842" s="16"/>
    </row>
    <row r="843" spans="1:1" ht="12" customHeight="1" x14ac:dyDescent="0.2">
      <c r="A843" s="16"/>
    </row>
    <row r="844" spans="1:1" ht="12" customHeight="1" x14ac:dyDescent="0.2">
      <c r="A844" s="16"/>
    </row>
    <row r="845" spans="1:1" ht="12" customHeight="1" x14ac:dyDescent="0.2">
      <c r="A845" s="16"/>
    </row>
    <row r="846" spans="1:1" ht="12" customHeight="1" x14ac:dyDescent="0.2">
      <c r="A846" s="16"/>
    </row>
    <row r="847" spans="1:1" ht="12" customHeight="1" x14ac:dyDescent="0.2">
      <c r="A847" s="16"/>
    </row>
    <row r="848" spans="1:1" ht="12" customHeight="1" x14ac:dyDescent="0.2">
      <c r="A848" s="16"/>
    </row>
    <row r="849" spans="1:1" ht="12" customHeight="1" x14ac:dyDescent="0.2">
      <c r="A849" s="16"/>
    </row>
    <row r="850" spans="1:1" ht="12" customHeight="1" x14ac:dyDescent="0.2">
      <c r="A850" s="16"/>
    </row>
    <row r="851" spans="1:1" ht="12" customHeight="1" x14ac:dyDescent="0.2">
      <c r="A851" s="16"/>
    </row>
    <row r="852" spans="1:1" ht="12" customHeight="1" x14ac:dyDescent="0.2">
      <c r="A852" s="16"/>
    </row>
    <row r="853" spans="1:1" ht="12" customHeight="1" x14ac:dyDescent="0.2">
      <c r="A853" s="16"/>
    </row>
    <row r="854" spans="1:1" ht="12" customHeight="1" x14ac:dyDescent="0.2">
      <c r="A854" s="16"/>
    </row>
    <row r="855" spans="1:1" ht="12" customHeight="1" x14ac:dyDescent="0.2">
      <c r="A855" s="16"/>
    </row>
    <row r="856" spans="1:1" ht="12" customHeight="1" x14ac:dyDescent="0.2">
      <c r="A856" s="16"/>
    </row>
    <row r="857" spans="1:1" ht="12" customHeight="1" x14ac:dyDescent="0.2">
      <c r="A857" s="16"/>
    </row>
    <row r="858" spans="1:1" ht="12" customHeight="1" x14ac:dyDescent="0.2">
      <c r="A858" s="16"/>
    </row>
    <row r="859" spans="1:1" ht="12" customHeight="1" x14ac:dyDescent="0.2">
      <c r="A859" s="16"/>
    </row>
    <row r="860" spans="1:1" ht="12" customHeight="1" x14ac:dyDescent="0.2">
      <c r="A860" s="16"/>
    </row>
    <row r="861" spans="1:1" ht="12" customHeight="1" x14ac:dyDescent="0.2">
      <c r="A861" s="16"/>
    </row>
    <row r="862" spans="1:1" ht="12" customHeight="1" x14ac:dyDescent="0.2">
      <c r="A862" s="16"/>
    </row>
    <row r="863" spans="1:1" ht="12" customHeight="1" x14ac:dyDescent="0.2">
      <c r="A863" s="16"/>
    </row>
    <row r="864" spans="1:1" ht="12" customHeight="1" x14ac:dyDescent="0.2">
      <c r="A864" s="16"/>
    </row>
    <row r="865" spans="1:1" ht="12" customHeight="1" x14ac:dyDescent="0.2">
      <c r="A865" s="16"/>
    </row>
    <row r="866" spans="1:1" ht="12" customHeight="1" x14ac:dyDescent="0.2">
      <c r="A866" s="16"/>
    </row>
    <row r="867" spans="1:1" ht="12" customHeight="1" x14ac:dyDescent="0.2">
      <c r="A867" s="16"/>
    </row>
    <row r="868" spans="1:1" ht="12" customHeight="1" x14ac:dyDescent="0.2">
      <c r="A868" s="16"/>
    </row>
    <row r="869" spans="1:1" ht="12" customHeight="1" x14ac:dyDescent="0.2">
      <c r="A869" s="16"/>
    </row>
    <row r="870" spans="1:1" ht="12" customHeight="1" x14ac:dyDescent="0.2">
      <c r="A870" s="16"/>
    </row>
    <row r="871" spans="1:1" ht="12" customHeight="1" x14ac:dyDescent="0.2">
      <c r="A871" s="16"/>
    </row>
    <row r="872" spans="1:1" ht="12" customHeight="1" x14ac:dyDescent="0.2">
      <c r="A872" s="16"/>
    </row>
    <row r="873" spans="1:1" ht="12" customHeight="1" x14ac:dyDescent="0.2">
      <c r="A873" s="16"/>
    </row>
    <row r="874" spans="1:1" ht="12" customHeight="1" x14ac:dyDescent="0.2">
      <c r="A874" s="16"/>
    </row>
    <row r="875" spans="1:1" ht="12" customHeight="1" x14ac:dyDescent="0.2">
      <c r="A875" s="16"/>
    </row>
    <row r="876" spans="1:1" ht="12" customHeight="1" x14ac:dyDescent="0.2">
      <c r="A876" s="16"/>
    </row>
    <row r="877" spans="1:1" ht="12" customHeight="1" x14ac:dyDescent="0.2">
      <c r="A877" s="16"/>
    </row>
    <row r="878" spans="1:1" ht="12" customHeight="1" x14ac:dyDescent="0.2">
      <c r="A878" s="16"/>
    </row>
    <row r="879" spans="1:1" ht="12" customHeight="1" x14ac:dyDescent="0.2">
      <c r="A879" s="16"/>
    </row>
    <row r="880" spans="1:1" ht="12" customHeight="1" x14ac:dyDescent="0.2">
      <c r="A880" s="16"/>
    </row>
    <row r="881" spans="1:1" ht="12" customHeight="1" x14ac:dyDescent="0.2">
      <c r="A881" s="16"/>
    </row>
    <row r="882" spans="1:1" ht="12" customHeight="1" x14ac:dyDescent="0.2">
      <c r="A882" s="16"/>
    </row>
    <row r="883" spans="1:1" ht="12" customHeight="1" x14ac:dyDescent="0.2">
      <c r="A883" s="16"/>
    </row>
    <row r="884" spans="1:1" ht="12" customHeight="1" x14ac:dyDescent="0.2">
      <c r="A884" s="16"/>
    </row>
    <row r="885" spans="1:1" ht="12" customHeight="1" x14ac:dyDescent="0.2">
      <c r="A885" s="16"/>
    </row>
    <row r="886" spans="1:1" ht="12" customHeight="1" x14ac:dyDescent="0.2">
      <c r="A886" s="16"/>
    </row>
    <row r="887" spans="1:1" ht="12" customHeight="1" x14ac:dyDescent="0.2">
      <c r="A887" s="16"/>
    </row>
    <row r="888" spans="1:1" ht="12" customHeight="1" x14ac:dyDescent="0.2">
      <c r="A888" s="16"/>
    </row>
    <row r="889" spans="1:1" ht="12" customHeight="1" x14ac:dyDescent="0.2">
      <c r="A889" s="16"/>
    </row>
    <row r="890" spans="1:1" ht="12" customHeight="1" x14ac:dyDescent="0.2">
      <c r="A890" s="16"/>
    </row>
    <row r="891" spans="1:1" ht="12" customHeight="1" x14ac:dyDescent="0.2">
      <c r="A891" s="16"/>
    </row>
    <row r="892" spans="1:1" ht="12" customHeight="1" x14ac:dyDescent="0.2">
      <c r="A892" s="16"/>
    </row>
    <row r="893" spans="1:1" ht="12" customHeight="1" x14ac:dyDescent="0.2">
      <c r="A893" s="16"/>
    </row>
    <row r="894" spans="1:1" ht="12" customHeight="1" x14ac:dyDescent="0.2">
      <c r="A894" s="16"/>
    </row>
    <row r="895" spans="1:1" ht="12" customHeight="1" x14ac:dyDescent="0.2">
      <c r="A895" s="16"/>
    </row>
    <row r="896" spans="1:1" ht="12" customHeight="1" x14ac:dyDescent="0.2">
      <c r="A896" s="16"/>
    </row>
    <row r="897" spans="1:1" ht="12" customHeight="1" x14ac:dyDescent="0.2">
      <c r="A897" s="16"/>
    </row>
    <row r="898" spans="1:1" ht="12" customHeight="1" x14ac:dyDescent="0.2">
      <c r="A898" s="16"/>
    </row>
    <row r="899" spans="1:1" ht="12" customHeight="1" x14ac:dyDescent="0.2">
      <c r="A899" s="16"/>
    </row>
    <row r="900" spans="1:1" ht="12" customHeight="1" x14ac:dyDescent="0.2">
      <c r="A900" s="16"/>
    </row>
    <row r="901" spans="1:1" ht="12" customHeight="1" x14ac:dyDescent="0.2">
      <c r="A901" s="16"/>
    </row>
    <row r="902" spans="1:1" ht="12" customHeight="1" x14ac:dyDescent="0.2">
      <c r="A902" s="16"/>
    </row>
    <row r="903" spans="1:1" ht="12" customHeight="1" x14ac:dyDescent="0.2">
      <c r="A903" s="16"/>
    </row>
    <row r="904" spans="1:1" ht="12" customHeight="1" x14ac:dyDescent="0.2">
      <c r="A904" s="16"/>
    </row>
    <row r="905" spans="1:1" ht="12" customHeight="1" x14ac:dyDescent="0.2">
      <c r="A905" s="16"/>
    </row>
    <row r="906" spans="1:1" ht="12" customHeight="1" x14ac:dyDescent="0.2">
      <c r="A906" s="16"/>
    </row>
    <row r="907" spans="1:1" ht="12" customHeight="1" x14ac:dyDescent="0.2">
      <c r="A907" s="16"/>
    </row>
    <row r="908" spans="1:1" ht="12" customHeight="1" x14ac:dyDescent="0.2">
      <c r="A908" s="16"/>
    </row>
    <row r="909" spans="1:1" ht="12" customHeight="1" x14ac:dyDescent="0.2">
      <c r="A909" s="16"/>
    </row>
    <row r="910" spans="1:1" ht="12" customHeight="1" x14ac:dyDescent="0.2">
      <c r="A910" s="16"/>
    </row>
    <row r="911" spans="1:1" ht="12" customHeight="1" x14ac:dyDescent="0.2">
      <c r="A911" s="16"/>
    </row>
    <row r="912" spans="1:1" ht="12" customHeight="1" x14ac:dyDescent="0.2">
      <c r="A912" s="16"/>
    </row>
    <row r="913" spans="1:1" ht="12" customHeight="1" x14ac:dyDescent="0.2">
      <c r="A913" s="16"/>
    </row>
    <row r="914" spans="1:1" ht="12" customHeight="1" x14ac:dyDescent="0.2">
      <c r="A914" s="16"/>
    </row>
    <row r="915" spans="1:1" ht="12" customHeight="1" x14ac:dyDescent="0.2">
      <c r="A915" s="16"/>
    </row>
    <row r="916" spans="1:1" ht="12" customHeight="1" x14ac:dyDescent="0.2">
      <c r="A916" s="16"/>
    </row>
    <row r="917" spans="1:1" ht="12" customHeight="1" x14ac:dyDescent="0.2">
      <c r="A917" s="16"/>
    </row>
    <row r="918" spans="1:1" ht="12" customHeight="1" x14ac:dyDescent="0.2">
      <c r="A918" s="16"/>
    </row>
    <row r="919" spans="1:1" ht="12" customHeight="1" x14ac:dyDescent="0.2">
      <c r="A919" s="16"/>
    </row>
    <row r="920" spans="1:1" ht="12" customHeight="1" x14ac:dyDescent="0.2">
      <c r="A920" s="16"/>
    </row>
    <row r="921" spans="1:1" ht="12" customHeight="1" x14ac:dyDescent="0.2">
      <c r="A921" s="16"/>
    </row>
    <row r="922" spans="1:1" ht="12" customHeight="1" x14ac:dyDescent="0.2">
      <c r="A922" s="16"/>
    </row>
    <row r="923" spans="1:1" ht="12" customHeight="1" x14ac:dyDescent="0.2">
      <c r="A923" s="16"/>
    </row>
    <row r="924" spans="1:1" ht="12" customHeight="1" x14ac:dyDescent="0.2">
      <c r="A924" s="16"/>
    </row>
    <row r="925" spans="1:1" ht="12" customHeight="1" x14ac:dyDescent="0.2">
      <c r="A925" s="16"/>
    </row>
    <row r="926" spans="1:1" ht="12" customHeight="1" x14ac:dyDescent="0.2">
      <c r="A926" s="16"/>
    </row>
    <row r="927" spans="1:1" ht="12" customHeight="1" x14ac:dyDescent="0.2">
      <c r="A927" s="16"/>
    </row>
    <row r="928" spans="1:1" ht="12" customHeight="1" x14ac:dyDescent="0.2">
      <c r="A928" s="16"/>
    </row>
    <row r="929" spans="1:1" ht="12" customHeight="1" x14ac:dyDescent="0.2">
      <c r="A929" s="16"/>
    </row>
    <row r="930" spans="1:1" ht="12" customHeight="1" x14ac:dyDescent="0.2">
      <c r="A930" s="16"/>
    </row>
    <row r="931" spans="1:1" ht="12" customHeight="1" x14ac:dyDescent="0.2">
      <c r="A931" s="16"/>
    </row>
    <row r="932" spans="1:1" ht="12" customHeight="1" x14ac:dyDescent="0.2">
      <c r="A932" s="16"/>
    </row>
    <row r="933" spans="1:1" ht="12" customHeight="1" x14ac:dyDescent="0.2">
      <c r="A933" s="16"/>
    </row>
    <row r="934" spans="1:1" ht="12" customHeight="1" x14ac:dyDescent="0.2">
      <c r="A934" s="16"/>
    </row>
    <row r="935" spans="1:1" ht="12" customHeight="1" x14ac:dyDescent="0.2">
      <c r="A935" s="16"/>
    </row>
    <row r="936" spans="1:1" ht="12" customHeight="1" x14ac:dyDescent="0.2">
      <c r="A936" s="16"/>
    </row>
    <row r="937" spans="1:1" ht="12" customHeight="1" x14ac:dyDescent="0.2">
      <c r="A937" s="16"/>
    </row>
    <row r="938" spans="1:1" ht="12" customHeight="1" x14ac:dyDescent="0.2">
      <c r="A938" s="16"/>
    </row>
    <row r="939" spans="1:1" ht="12" customHeight="1" x14ac:dyDescent="0.2">
      <c r="A939" s="16"/>
    </row>
    <row r="940" spans="1:1" ht="12" customHeight="1" x14ac:dyDescent="0.2">
      <c r="A940" s="16"/>
    </row>
    <row r="941" spans="1:1" ht="12" customHeight="1" x14ac:dyDescent="0.2">
      <c r="A941" s="16"/>
    </row>
    <row r="942" spans="1:1" ht="12" customHeight="1" x14ac:dyDescent="0.2">
      <c r="A942" s="16"/>
    </row>
    <row r="943" spans="1:1" ht="12" customHeight="1" x14ac:dyDescent="0.2">
      <c r="A943" s="16"/>
    </row>
    <row r="944" spans="1:1" ht="12" customHeight="1" x14ac:dyDescent="0.2">
      <c r="A944" s="16"/>
    </row>
    <row r="945" spans="1:1" ht="12" customHeight="1" x14ac:dyDescent="0.2">
      <c r="A945" s="16"/>
    </row>
    <row r="946" spans="1:1" ht="12" customHeight="1" x14ac:dyDescent="0.2">
      <c r="A946" s="16"/>
    </row>
    <row r="947" spans="1:1" ht="12" customHeight="1" x14ac:dyDescent="0.2">
      <c r="A947" s="16"/>
    </row>
    <row r="948" spans="1:1" ht="12" customHeight="1" x14ac:dyDescent="0.2">
      <c r="A948" s="16"/>
    </row>
    <row r="949" spans="1:1" ht="12" customHeight="1" x14ac:dyDescent="0.2">
      <c r="A949" s="16"/>
    </row>
    <row r="950" spans="1:1" ht="12" customHeight="1" x14ac:dyDescent="0.2">
      <c r="A950" s="16"/>
    </row>
    <row r="951" spans="1:1" ht="12" customHeight="1" x14ac:dyDescent="0.2">
      <c r="A951" s="16"/>
    </row>
    <row r="952" spans="1:1" ht="12" customHeight="1" x14ac:dyDescent="0.2">
      <c r="A952" s="16"/>
    </row>
    <row r="953" spans="1:1" ht="12" customHeight="1" x14ac:dyDescent="0.2">
      <c r="A953" s="16"/>
    </row>
    <row r="954" spans="1:1" ht="12" customHeight="1" x14ac:dyDescent="0.2">
      <c r="A954" s="16"/>
    </row>
    <row r="955" spans="1:1" ht="12" customHeight="1" x14ac:dyDescent="0.2">
      <c r="A955" s="16"/>
    </row>
    <row r="956" spans="1:1" ht="12" customHeight="1" x14ac:dyDescent="0.2">
      <c r="A956" s="16"/>
    </row>
    <row r="957" spans="1:1" ht="12" customHeight="1" x14ac:dyDescent="0.2">
      <c r="A957" s="16"/>
    </row>
    <row r="958" spans="1:1" ht="12" customHeight="1" x14ac:dyDescent="0.2">
      <c r="A958" s="16"/>
    </row>
    <row r="959" spans="1:1" ht="12" customHeight="1" x14ac:dyDescent="0.2">
      <c r="A959" s="16"/>
    </row>
    <row r="960" spans="1:1" ht="12" customHeight="1" x14ac:dyDescent="0.2">
      <c r="A960" s="16"/>
    </row>
    <row r="961" spans="1:1" ht="12" customHeight="1" x14ac:dyDescent="0.2">
      <c r="A961" s="16"/>
    </row>
    <row r="962" spans="1:1" ht="12" customHeight="1" x14ac:dyDescent="0.2">
      <c r="A962" s="16"/>
    </row>
    <row r="963" spans="1:1" ht="12" customHeight="1" x14ac:dyDescent="0.2">
      <c r="A963" s="16"/>
    </row>
    <row r="964" spans="1:1" ht="12" customHeight="1" x14ac:dyDescent="0.2">
      <c r="A964" s="16"/>
    </row>
    <row r="965" spans="1:1" ht="12" customHeight="1" x14ac:dyDescent="0.2">
      <c r="A965" s="16"/>
    </row>
    <row r="966" spans="1:1" ht="12" customHeight="1" x14ac:dyDescent="0.2">
      <c r="A966" s="16"/>
    </row>
    <row r="967" spans="1:1" ht="12" customHeight="1" x14ac:dyDescent="0.2">
      <c r="A967" s="16"/>
    </row>
    <row r="968" spans="1:1" ht="12" customHeight="1" x14ac:dyDescent="0.2">
      <c r="A968" s="16"/>
    </row>
    <row r="969" spans="1:1" ht="12" customHeight="1" x14ac:dyDescent="0.2">
      <c r="A969" s="16"/>
    </row>
    <row r="970" spans="1:1" ht="12" customHeight="1" x14ac:dyDescent="0.2">
      <c r="A970" s="16"/>
    </row>
    <row r="971" spans="1:1" ht="12" customHeight="1" x14ac:dyDescent="0.2">
      <c r="A971" s="16"/>
    </row>
    <row r="972" spans="1:1" ht="12" customHeight="1" x14ac:dyDescent="0.2">
      <c r="A972" s="16"/>
    </row>
    <row r="973" spans="1:1" ht="12" customHeight="1" x14ac:dyDescent="0.2">
      <c r="A973" s="16"/>
    </row>
    <row r="974" spans="1:1" ht="12" customHeight="1" x14ac:dyDescent="0.2">
      <c r="A974" s="16"/>
    </row>
    <row r="975" spans="1:1" ht="12" customHeight="1" x14ac:dyDescent="0.2">
      <c r="A975" s="16"/>
    </row>
    <row r="976" spans="1:1" ht="12" customHeight="1" x14ac:dyDescent="0.2">
      <c r="A976" s="16"/>
    </row>
    <row r="977" spans="1:1" ht="12" customHeight="1" x14ac:dyDescent="0.2">
      <c r="A977" s="16"/>
    </row>
    <row r="978" spans="1:1" ht="12" customHeight="1" x14ac:dyDescent="0.2">
      <c r="A978" s="16"/>
    </row>
    <row r="979" spans="1:1" ht="12" customHeight="1" x14ac:dyDescent="0.2">
      <c r="A979" s="16"/>
    </row>
    <row r="980" spans="1:1" ht="12" customHeight="1" x14ac:dyDescent="0.2">
      <c r="A980" s="16"/>
    </row>
    <row r="981" spans="1:1" ht="12" customHeight="1" x14ac:dyDescent="0.2">
      <c r="A981" s="16"/>
    </row>
    <row r="982" spans="1:1" ht="12" customHeight="1" x14ac:dyDescent="0.2">
      <c r="A982" s="16"/>
    </row>
    <row r="983" spans="1:1" ht="12" customHeight="1" x14ac:dyDescent="0.2">
      <c r="A983" s="16"/>
    </row>
    <row r="984" spans="1:1" ht="12" customHeight="1" x14ac:dyDescent="0.2">
      <c r="A984" s="16"/>
    </row>
    <row r="985" spans="1:1" ht="12" customHeight="1" x14ac:dyDescent="0.2">
      <c r="A985" s="16"/>
    </row>
    <row r="986" spans="1:1" ht="12" customHeight="1" x14ac:dyDescent="0.2">
      <c r="A986" s="16"/>
    </row>
    <row r="987" spans="1:1" ht="12" customHeight="1" x14ac:dyDescent="0.2">
      <c r="A987" s="16"/>
    </row>
    <row r="988" spans="1:1" ht="12" customHeight="1" x14ac:dyDescent="0.2">
      <c r="A988" s="16"/>
    </row>
    <row r="989" spans="1:1" ht="15" customHeight="1" x14ac:dyDescent="0.2">
      <c r="A989" s="16"/>
    </row>
    <row r="990" spans="1:1" ht="15" customHeight="1" x14ac:dyDescent="0.2">
      <c r="A990" s="16"/>
    </row>
  </sheetData>
  <mergeCells count="153">
    <mergeCell ref="E7:G7"/>
    <mergeCell ref="F8:G8"/>
    <mergeCell ref="F9:G9"/>
    <mergeCell ref="C9:D9"/>
    <mergeCell ref="C8:D8"/>
    <mergeCell ref="C6:D6"/>
    <mergeCell ref="A7:D7"/>
    <mergeCell ref="U8:U9"/>
    <mergeCell ref="S8:S9"/>
    <mergeCell ref="N26:N27"/>
    <mergeCell ref="O26:O27"/>
    <mergeCell ref="H26:H27"/>
    <mergeCell ref="I26:I27"/>
    <mergeCell ref="K26:K27"/>
    <mergeCell ref="J26:J27"/>
    <mergeCell ref="L26:L27"/>
    <mergeCell ref="M26:M27"/>
    <mergeCell ref="N28:N29"/>
    <mergeCell ref="O28:O29"/>
    <mergeCell ref="H28:H29"/>
    <mergeCell ref="I28:I29"/>
    <mergeCell ref="K28:K29"/>
    <mergeCell ref="J28:J29"/>
    <mergeCell ref="L28:L29"/>
    <mergeCell ref="M28:M29"/>
    <mergeCell ref="N22:N23"/>
    <mergeCell ref="O22:O23"/>
    <mergeCell ref="H22:H23"/>
    <mergeCell ref="I22:I23"/>
    <mergeCell ref="K22:K23"/>
    <mergeCell ref="J22:J23"/>
    <mergeCell ref="L22:L23"/>
    <mergeCell ref="M22:M23"/>
    <mergeCell ref="N24:N25"/>
    <mergeCell ref="O24:O25"/>
    <mergeCell ref="H24:H25"/>
    <mergeCell ref="I24:I25"/>
    <mergeCell ref="K24:K25"/>
    <mergeCell ref="J24:J25"/>
    <mergeCell ref="L24:L25"/>
    <mergeCell ref="M24:M25"/>
    <mergeCell ref="N20:N21"/>
    <mergeCell ref="O20:O21"/>
    <mergeCell ref="H20:H21"/>
    <mergeCell ref="I20:I21"/>
    <mergeCell ref="K20:K21"/>
    <mergeCell ref="J20:J21"/>
    <mergeCell ref="L20:L21"/>
    <mergeCell ref="M20:M21"/>
    <mergeCell ref="N18:N19"/>
    <mergeCell ref="O18:O19"/>
    <mergeCell ref="H18:H19"/>
    <mergeCell ref="I18:I19"/>
    <mergeCell ref="K18:K19"/>
    <mergeCell ref="J18:J19"/>
    <mergeCell ref="L18:L19"/>
    <mergeCell ref="M18:M19"/>
    <mergeCell ref="H12:H13"/>
    <mergeCell ref="I12:I13"/>
    <mergeCell ref="K12:K13"/>
    <mergeCell ref="J12:J13"/>
    <mergeCell ref="L1:P1"/>
    <mergeCell ref="L2:P4"/>
    <mergeCell ref="N5:P5"/>
    <mergeCell ref="L6:M6"/>
    <mergeCell ref="N6:P6"/>
    <mergeCell ref="H8:I8"/>
    <mergeCell ref="J8:L8"/>
    <mergeCell ref="O8:O9"/>
    <mergeCell ref="L5:M5"/>
    <mergeCell ref="M8:M9"/>
    <mergeCell ref="N8:N9"/>
    <mergeCell ref="H2:K2"/>
    <mergeCell ref="H1:K1"/>
    <mergeCell ref="H3:K3"/>
    <mergeCell ref="H4:K4"/>
    <mergeCell ref="H6:I6"/>
    <mergeCell ref="J6:K6"/>
    <mergeCell ref="J5:K5"/>
    <mergeCell ref="L12:L13"/>
    <mergeCell ref="M12:M13"/>
    <mergeCell ref="Q7:S7"/>
    <mergeCell ref="Q8:Q9"/>
    <mergeCell ref="P8:P9"/>
    <mergeCell ref="H7:P7"/>
    <mergeCell ref="N32:N33"/>
    <mergeCell ref="O32:O33"/>
    <mergeCell ref="H32:H33"/>
    <mergeCell ref="I32:I33"/>
    <mergeCell ref="J32:J33"/>
    <mergeCell ref="K32:K33"/>
    <mergeCell ref="L32:L33"/>
    <mergeCell ref="M32:M33"/>
    <mergeCell ref="N14:N15"/>
    <mergeCell ref="O14:O15"/>
    <mergeCell ref="H14:H15"/>
    <mergeCell ref="I14:I15"/>
    <mergeCell ref="K14:K15"/>
    <mergeCell ref="J14:J15"/>
    <mergeCell ref="L14:L15"/>
    <mergeCell ref="M14:M15"/>
    <mergeCell ref="N16:N17"/>
    <mergeCell ref="O16:O17"/>
    <mergeCell ref="H16:H17"/>
    <mergeCell ref="I16:I17"/>
    <mergeCell ref="P22:P23"/>
    <mergeCell ref="P24:P25"/>
    <mergeCell ref="P26:P27"/>
    <mergeCell ref="A1:G1"/>
    <mergeCell ref="A2:G2"/>
    <mergeCell ref="A3:G3"/>
    <mergeCell ref="A4:G4"/>
    <mergeCell ref="E5:G5"/>
    <mergeCell ref="E6:G6"/>
    <mergeCell ref="A8:B8"/>
    <mergeCell ref="K16:K17"/>
    <mergeCell ref="J16:J17"/>
    <mergeCell ref="L16:L17"/>
    <mergeCell ref="M16:M17"/>
    <mergeCell ref="L10:L11"/>
    <mergeCell ref="M10:M11"/>
    <mergeCell ref="N10:N11"/>
    <mergeCell ref="O10:O11"/>
    <mergeCell ref="H10:H11"/>
    <mergeCell ref="I10:I11"/>
    <mergeCell ref="J10:J11"/>
    <mergeCell ref="K10:K11"/>
    <mergeCell ref="N12:N13"/>
    <mergeCell ref="O12:O13"/>
    <mergeCell ref="P28:P29"/>
    <mergeCell ref="P32:P33"/>
    <mergeCell ref="T7:U7"/>
    <mergeCell ref="T8:T9"/>
    <mergeCell ref="Q1:U1"/>
    <mergeCell ref="Q2:U6"/>
    <mergeCell ref="H5:I5"/>
    <mergeCell ref="A6:B6"/>
    <mergeCell ref="A5:B5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P10:P11"/>
    <mergeCell ref="P12:P13"/>
    <mergeCell ref="P14:P15"/>
    <mergeCell ref="P16:P17"/>
    <mergeCell ref="P18:P19"/>
    <mergeCell ref="P20:P21"/>
  </mergeCells>
  <dataValidations count="7">
    <dataValidation type="decimal" allowBlank="1" showInputMessage="1" showErrorMessage="1" errorTitle="Stop right there criminal scum" error="Must enter numeric data. Use 0 instead of &quot;ground&quot;/&quot;base&quot;" sqref="E10:E33 A10:B33 H10:H33 I12:I33 I10:I11" xr:uid="{22C24B32-9C76-4BC9-892A-80C10B7C0374}">
      <formula1>0</formula1>
      <formula2>1000</formula2>
    </dataValidation>
    <dataValidation type="decimal" allowBlank="1" showInputMessage="1" showErrorMessage="1" errorTitle="Stop right there criminal scum" error="Must enter numeric data" sqref="J10:L33 C10:D33" xr:uid="{EBAD7E5F-0982-4D8A-8A42-F37EABCFB44F}">
      <formula1>0</formula1>
      <formula2>1000</formula2>
    </dataValidation>
    <dataValidation type="decimal" allowBlank="1" showInputMessage="1" showErrorMessage="1" errorTitle="Stop right there criminal scum" error="Must enter numeric data" sqref="F10:G33" xr:uid="{2C69EB41-7856-40A1-BA9E-D2D56F733E15}">
      <formula1>-1000</formula1>
      <formula2>1000</formula2>
    </dataValidation>
    <dataValidation allowBlank="1" showInputMessage="1" showErrorMessage="1" errorTitle="Stop right there criminal scum" error="Must enter numeric data. Use 0 instead of &quot;ground&quot;/&quot;base&quot;" sqref="R10:R33" xr:uid="{B7BFFD9A-267B-4E5C-A780-FBA903FB3A60}"/>
    <dataValidation type="decimal" allowBlank="1" showInputMessage="1" showErrorMessage="1" errorTitle="Stop right there criminal scum" error="Must be numeric between -90 and +90" sqref="H2:K2" xr:uid="{E6C42A57-5670-478C-804F-C56D87942C85}">
      <formula1>-90</formula1>
      <formula2>90</formula2>
    </dataValidation>
    <dataValidation type="decimal" allowBlank="1" showInputMessage="1" showErrorMessage="1" errorTitle="Stop right there criminal scum" error="Must be numeric between -180 and +180" sqref="H4:K4" xr:uid="{EED924EE-A388-4147-A885-13EE7F6A824F}">
      <formula1>-180</formula1>
      <formula2>180</formula2>
    </dataValidation>
    <dataValidation type="decimal" allowBlank="1" showInputMessage="1" showErrorMessage="1" errorTitle="Stop right there criminal scum" error="Must be numeric" sqref="C6:D6 E6:G6" xr:uid="{EA2A278C-E8F3-4013-9EFB-64F506616DFC}">
      <formula1>0</formula1>
      <formula2>1000</formula2>
    </dataValidation>
  </dataValidations>
  <printOptions horizontalCentered="1"/>
  <pageMargins left="0.1" right="0.1" top="0.5" bottom="0.1" header="0" footer="0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Brady,Mike (ECCC)</dc:creator>
  <cp:lastModifiedBy>Brady,Mike (ECCC)</cp:lastModifiedBy>
  <cp:lastPrinted>2026-05-06T13:23:24Z</cp:lastPrinted>
  <dcterms:created xsi:type="dcterms:W3CDTF">2012-03-30T17:40:00Z</dcterms:created>
  <dcterms:modified xsi:type="dcterms:W3CDTF">2026-05-27T18:08:09Z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USDA Forest Service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1033-10.2.0.5871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